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blackrosecoke-my.sharepoint.com/personal/diane_meria_blackrose_co_ke/Documents/Black Rose 2026/Clients/Accounting/Checklists/Templates/BRC/"/>
    </mc:Choice>
  </mc:AlternateContent>
  <xr:revisionPtr revIDLastSave="108" documentId="11_77879D7B2D6A9FD24BD59709301CE76EF7CF697C" xr6:coauthVersionLast="47" xr6:coauthVersionMax="47" xr10:uidLastSave="{66C7734B-4140-4582-B696-186DAFAD6877}"/>
  <bookViews>
    <workbookView xWindow="-110" yWindow="-110" windowWidth="19420" windowHeight="10300" xr2:uid="{00000000-000D-0000-FFFF-FFFF00000000}"/>
  </bookViews>
  <sheets>
    <sheet name="Monthly Checklist" sheetId="1" r:id="rId1"/>
    <sheet name="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2" l="1"/>
  <c r="I6" i="2"/>
  <c r="I7" i="2"/>
  <c r="I8" i="2"/>
  <c r="I9" i="2"/>
  <c r="I10" i="2"/>
  <c r="I11" i="2"/>
  <c r="I12" i="2"/>
  <c r="I13" i="2"/>
  <c r="I14" i="2"/>
  <c r="I15" i="2"/>
  <c r="I16" i="2"/>
  <c r="I5" i="2"/>
  <c r="G16" i="2"/>
  <c r="G15" i="2"/>
  <c r="G14" i="2"/>
  <c r="G13" i="2"/>
  <c r="G12" i="2"/>
  <c r="G11" i="2"/>
  <c r="G10" i="2"/>
  <c r="G9" i="2"/>
  <c r="G8" i="2"/>
  <c r="G7" i="2"/>
  <c r="G5" i="2"/>
  <c r="H5" i="2"/>
  <c r="G6" i="2"/>
  <c r="H6" i="2"/>
  <c r="C17" i="2"/>
  <c r="B17" i="2"/>
  <c r="D16" i="2"/>
  <c r="E16" i="2" s="1"/>
  <c r="D15" i="2"/>
  <c r="F15" i="2" s="1"/>
  <c r="D14" i="2"/>
  <c r="F14" i="2" s="1"/>
  <c r="D13" i="2"/>
  <c r="F13" i="2" s="1"/>
  <c r="D12" i="2"/>
  <c r="E12" i="2" s="1"/>
  <c r="D11" i="2"/>
  <c r="F11" i="2" s="1"/>
  <c r="D10" i="2"/>
  <c r="F10" i="2" s="1"/>
  <c r="D9" i="2"/>
  <c r="F9" i="2" s="1"/>
  <c r="D8" i="2"/>
  <c r="D7" i="2"/>
  <c r="E7" i="2" s="1"/>
  <c r="D6" i="2"/>
  <c r="F6" i="2" s="1"/>
  <c r="D5" i="2"/>
  <c r="G17" i="2" l="1"/>
  <c r="H7" i="2"/>
  <c r="H8" i="2"/>
  <c r="H9" i="2"/>
  <c r="H10" i="2"/>
  <c r="H11" i="2"/>
  <c r="H12" i="2"/>
  <c r="H13" i="2"/>
  <c r="H14" i="2"/>
  <c r="H15" i="2"/>
  <c r="H16" i="2"/>
  <c r="E5" i="2"/>
  <c r="D17" i="2"/>
  <c r="F5" i="2"/>
  <c r="F8" i="2"/>
  <c r="E8" i="2"/>
  <c r="E9" i="2"/>
  <c r="E11" i="2"/>
  <c r="E13" i="2"/>
  <c r="E15" i="2"/>
  <c r="F12" i="2"/>
  <c r="F16" i="2"/>
  <c r="E6" i="2"/>
  <c r="F7" i="2"/>
  <c r="E10" i="2"/>
  <c r="E14" i="2"/>
  <c r="H17" i="2" l="1"/>
  <c r="F17" i="2"/>
  <c r="E17" i="2"/>
</calcChain>
</file>

<file path=xl/sharedStrings.xml><?xml version="1.0" encoding="utf-8"?>
<sst xmlns="http://schemas.openxmlformats.org/spreadsheetml/2006/main" count="794" uniqueCount="212">
  <si>
    <t>Audit, Accounting &amp; Tax Compliance Firm — Monthly Finance Checklist</t>
  </si>
  <si>
    <t>#</t>
  </si>
  <si>
    <t>Category</t>
  </si>
  <si>
    <t>Sub-Category</t>
  </si>
  <si>
    <t>Checklist Item</t>
  </si>
  <si>
    <t>Status</t>
  </si>
  <si>
    <t>Responsible</t>
  </si>
  <si>
    <t>Assigned To</t>
  </si>
  <si>
    <t>Notes</t>
  </si>
  <si>
    <t>Confirmed by HOD</t>
  </si>
  <si>
    <t xml:space="preserve">  Billing, Revenue &amp; WIP</t>
  </si>
  <si>
    <t>Billing, Revenue &amp; WIP</t>
  </si>
  <si>
    <t>Timesheet review</t>
  </si>
  <si>
    <t>Confirm all professional staff have submitted timesheets for every working day of the month</t>
  </si>
  <si>
    <t>N/A</t>
  </si>
  <si>
    <t>Accountant</t>
  </si>
  <si>
    <t>Complete</t>
  </si>
  <si>
    <t>Pending</t>
  </si>
  <si>
    <t>Review and approve timesheets; confirm hours are coded to the correct client/engagement</t>
  </si>
  <si>
    <t>HOD</t>
  </si>
  <si>
    <t>Identify non-chargeable time (training, admin, BD, leave) and post to correct internal codes</t>
  </si>
  <si>
    <t>Reconcile total hours recorded to expected capacity by service line (audit, accounting, tax)</t>
  </si>
  <si>
    <t>WIP management</t>
  </si>
  <si>
    <t>Update WIP register for all active audit, accounting, and tax compliance engagements</t>
  </si>
  <si>
    <t>Write down WIP for any engagement where recovery is doubtful; obtain partner approval</t>
  </si>
  <si>
    <t>Invoice generation</t>
  </si>
  <si>
    <t>Raise invoices for all completed milestones, monthly retainer fees, and ad hoc work billed this month</t>
  </si>
  <si>
    <t>Confirm all invoices are approved by the responsible partner before dispatch to clients</t>
  </si>
  <si>
    <t>Confirm invoice amounts, VAT treatment, and client reference agree to the engagement letter</t>
  </si>
  <si>
    <t>Issue invoices and record in the billing register against each client and engagement</t>
  </si>
  <si>
    <t>Revenue recognition</t>
  </si>
  <si>
    <t>Recognise revenue for work done this month per engagement (% completion or milestone basis)</t>
  </si>
  <si>
    <t>Post deferred income for fees received in advance of work being performed</t>
  </si>
  <si>
    <t>Reconcile recognised revenue to invoices raised and WIP movements for the month</t>
  </si>
  <si>
    <t>Prepare monthly fee income report by service line (audit, accounting, tax compliance)</t>
  </si>
  <si>
    <t xml:space="preserve">  Audit Engagements — Monthly Progress</t>
  </si>
  <si>
    <t>Audit Engagements — Monthly Progress</t>
  </si>
  <si>
    <t>Engagement management</t>
  </si>
  <si>
    <t>Update audit engagement tracker with current status of all active audit assignments</t>
  </si>
  <si>
    <t>Confirm all audit fieldwork scheduled for the month is completed or rescheduled with client agreement</t>
  </si>
  <si>
    <t>Confirm engagement letters are in place for all audits starting this month</t>
  </si>
  <si>
    <t>Confirm audit planning materiality and risk assessments are up to date on active engagements</t>
  </si>
  <si>
    <t>Audit Associate</t>
  </si>
  <si>
    <t>Audit file management</t>
  </si>
  <si>
    <t>Confirm audit working paper files for all active engagements are being updated and reviewed</t>
  </si>
  <si>
    <t>Confirm all significant audit findings and issues are documented and escalated to partners</t>
  </si>
  <si>
    <t>Confirm outstanding client information requests (PBC lists) are followed up and tracked</t>
  </si>
  <si>
    <t>Confirm all review notes are cleared or carried forward with documented responses</t>
  </si>
  <si>
    <t>Reporting</t>
  </si>
  <si>
    <t>Confirm all audit reports due for issue this month are completed and issued on time</t>
  </si>
  <si>
    <t>Confirm management letters for completed audits are prepared and issued to clients</t>
  </si>
  <si>
    <t>Confirm all regulatory submission deadlines (e.g. filing with registrar) for audit clients are met</t>
  </si>
  <si>
    <t>Billing</t>
  </si>
  <si>
    <t>Confirm audit fee invoices raised match the engagement letter fee schedule or agreed variations</t>
  </si>
  <si>
    <t xml:space="preserve">  Accounting &amp; Bookkeeping Engagements</t>
  </si>
  <si>
    <t>Accounting &amp; Bookkeeping Engagements</t>
  </si>
  <si>
    <t>Bookkeeping</t>
  </si>
  <si>
    <t>Confirm all client bookkeeping data (bank statements, invoices, receipts) is received on time</t>
  </si>
  <si>
    <t>Post all client transactions — sales, purchases, payroll, bank — for the month</t>
  </si>
  <si>
    <t>Reconcile client bank accounts to the cash book for the month</t>
  </si>
  <si>
    <t>Process client payroll and confirm payroll journals are posted for the month</t>
  </si>
  <si>
    <t>Confirm all client accounts payable and receivable ledgers are updated and reconciled</t>
  </si>
  <si>
    <t>Management accounts</t>
  </si>
  <si>
    <t>Prepare monthly management accounts for all accounting clients due this month</t>
  </si>
  <si>
    <t>Confirm management accounts are reviewed by the responsible manager before client delivery</t>
  </si>
  <si>
    <t>Deliver management accounts to clients within agreed turnaround times</t>
  </si>
  <si>
    <t>Follow up with clients on any queries arising from management accounts delivered</t>
  </si>
  <si>
    <t>Reconciliations</t>
  </si>
  <si>
    <t>Perform month-end reconciliations for all client accounts — bank, debtors, creditors, payroll</t>
  </si>
  <si>
    <t>Confirm all client trial balances are in balance and free from unexplained items</t>
  </si>
  <si>
    <t>Post month-end journals — accruals, prepayments, depreciation — for all accounting clients</t>
  </si>
  <si>
    <t>Confirm accounting/bookkeeping fee invoices raised agree to engagement letter fee schedules</t>
  </si>
  <si>
    <t xml:space="preserve">  Tax Compliance Engagements</t>
  </si>
  <si>
    <t>Tax Compliance Engagements</t>
  </si>
  <si>
    <t>VAT</t>
  </si>
  <si>
    <t>Confirm client sales and purchase data is received for VAT computation</t>
  </si>
  <si>
    <t>Tax Associate</t>
  </si>
  <si>
    <t>Confirm VAT computations are prepared, reviewed, and approved before filing</t>
  </si>
  <si>
    <t>Confirm VAT 3 returns are filed on iTax by the 20th for all VAT clients</t>
  </si>
  <si>
    <t>Confirm VAT payment E-slips are generated and shared with clients for payment</t>
  </si>
  <si>
    <t>Withholding Tax</t>
  </si>
  <si>
    <t>Confirm WHT schedules are prepared for all applicable client payments this month</t>
  </si>
  <si>
    <t>Confirm WHT returns are filed on iTax by the 20th for all WHT clients</t>
  </si>
  <si>
    <t>Confirm WHT certificates are generated and distributed to suppliers on behalf of clients</t>
  </si>
  <si>
    <t>Compliance tracker</t>
  </si>
  <si>
    <t>Update tax compliance tracker with filing status for each client and obligation</t>
  </si>
  <si>
    <t>Flag any overdue filings or pending payments; escalate to engagement manager</t>
  </si>
  <si>
    <t>Confirm tax compliance fee invoices raised agree to engagement letter fee schedules</t>
  </si>
  <si>
    <t xml:space="preserve">  Cash &amp; Bank</t>
  </si>
  <si>
    <t>Cash &amp; Bank</t>
  </si>
  <si>
    <t>Bank reconciliation</t>
  </si>
  <si>
    <t>Obtain month-end bank statements for all firm bank accounts</t>
  </si>
  <si>
    <t>Reconcile each firm bank account closing balance to the general ledger cash book</t>
  </si>
  <si>
    <t>List all outstanding deposits in transit at month-end; confirm expected clearance dates</t>
  </si>
  <si>
    <t>List all outstanding cheques and unpresented payments; investigate items over 30 days</t>
  </si>
  <si>
    <t>Confirm all bank charges, interest, and fees are posted in the firm cash book</t>
  </si>
  <si>
    <t>Review bank statement for unusual or unauthorised transactions; escalate immediately</t>
  </si>
  <si>
    <t>Confirm no stale cheques (older than 6 months) remain uncleared on the reconciliation</t>
  </si>
  <si>
    <t>Petty cash</t>
  </si>
  <si>
    <t>Perform physical petty cash count; confirm balance agrees to the cashbook</t>
  </si>
  <si>
    <t>Reconcile petty cash to the petty cash ledger; confirm all vouchers are approved and filed</t>
  </si>
  <si>
    <t>Replenish petty cash to the approved float level and post replenishment journal</t>
  </si>
  <si>
    <t>Cash management</t>
  </si>
  <si>
    <t>Confirm all inter-bank transfers are posted in both accounts and reconciled</t>
  </si>
  <si>
    <t>Review month-end cash position against minimum operating balance requirements</t>
  </si>
  <si>
    <t>Prepare month-end actual cash flow statement (firm receipts and payments)</t>
  </si>
  <si>
    <t>Cash forecasting</t>
  </si>
  <si>
    <t>Update rolling 3-month cash flow forecast with latest billing and cost data</t>
  </si>
  <si>
    <t>Identify projected cash shortfalls; flag to managing partner with proposed mitigations</t>
  </si>
  <si>
    <t>Confirm adequate cash is available for next payroll run and major payment obligations</t>
  </si>
  <si>
    <t xml:space="preserve">  Advances</t>
  </si>
  <si>
    <t>Advances</t>
  </si>
  <si>
    <t>Staff advances</t>
  </si>
  <si>
    <t>Review advances register; confirm all open balances per staff member</t>
  </si>
  <si>
    <t>Follow up on all advances outstanding beyond the approved clearance period (30 days)</t>
  </si>
  <si>
    <t>Post retirement documents for advances liquidated this month</t>
  </si>
  <si>
    <t>Confirm no new advance is issued to staff with an unretired prior advance</t>
  </si>
  <si>
    <t>Client disbursements</t>
  </si>
  <si>
    <t>Reconcile any out-of-pocket client disbursements to approved engagement budgets</t>
  </si>
  <si>
    <t>Confirm all client disbursements are invoiced and recoverable per engagement letter</t>
  </si>
  <si>
    <t>Confirm firm funds advanced for client disbursements are correctly recorded as receivables</t>
  </si>
  <si>
    <t>Reconciliation</t>
  </si>
  <si>
    <t>Confirm advances ledger balance agrees to balance sheet advances line</t>
  </si>
  <si>
    <t xml:space="preserve">  Receivables</t>
  </si>
  <si>
    <t>Receivables</t>
  </si>
  <si>
    <t>Aged analysis</t>
  </si>
  <si>
    <t>Generate aged receivables report; review all balances by client and engagement</t>
  </si>
  <si>
    <t>Identify invoices overdue by 30, 60, and 90+ days; escalate 90+ day items to partners</t>
  </si>
  <si>
    <t>Collections</t>
  </si>
  <si>
    <t>Issue payment reminders to clients with overdue invoices</t>
  </si>
  <si>
    <t>Post all cash receipts; confirm correct allocation to client invoices and engagements</t>
  </si>
  <si>
    <t>Follow up on disputed fee notes with the responsible partner; document resolution plan</t>
  </si>
  <si>
    <t>Credit risk</t>
  </si>
  <si>
    <t>Assess recoverability of aged balances; raise bad debt provision where required</t>
  </si>
  <si>
    <t>Review credit terms for clients with persistently late payment patterns</t>
  </si>
  <si>
    <t>Reconcile receivables ledger total to balance sheet receivables line</t>
  </si>
  <si>
    <t xml:space="preserve">  Payables</t>
  </si>
  <si>
    <t>Payables</t>
  </si>
  <si>
    <t>Generate aged payables report; review all balances by supplier</t>
  </si>
  <si>
    <t>Identify invoices due for payment this month; prepare payment run schedule</t>
  </si>
  <si>
    <t>Payments</t>
  </si>
  <si>
    <t>Process approved payment run; confirm bank transfers are authorised per policy</t>
  </si>
  <si>
    <t>Confirm specialist sub-contractor and expert fee payments are made per agreed terms</t>
  </si>
  <si>
    <t>Reconcile supplier statements to the payables ledger for key vendors</t>
  </si>
  <si>
    <t>Statutory payables</t>
  </si>
  <si>
    <t>Confirm firm PAYE, NSSF, NHIF remittances are processed and receipts are filed</t>
  </si>
  <si>
    <t>Confirm firm VAT and WHT obligations are met and receipts are retained</t>
  </si>
  <si>
    <t>Reconcile payables ledger total to balance sheet payables line</t>
  </si>
  <si>
    <t>Review long-outstanding creditor balances for continued validity</t>
  </si>
  <si>
    <t xml:space="preserve">  Payroll &amp; Staff Costs</t>
  </si>
  <si>
    <t>Payroll &amp; Staff Costs</t>
  </si>
  <si>
    <t>Payroll processing</t>
  </si>
  <si>
    <t>Confirm approved headcount, new starters, leavers, and salary changes for the month</t>
  </si>
  <si>
    <t>Process monthly payroll for partners, managers, seniors, and support staff</t>
  </si>
  <si>
    <t>Reconcile gross pay to approved salary schedule</t>
  </si>
  <si>
    <t>Issue payslips; confirm net pay agrees to bank transfer total before release</t>
  </si>
  <si>
    <t>Statutory deductions</t>
  </si>
  <si>
    <t>Confirm firm PAYE, NSSF, NHIF deductions are correctly computed and remitted</t>
  </si>
  <si>
    <t>File firm statutory remittance returns by due dates; retain receipts</t>
  </si>
  <si>
    <t>Cost allocation</t>
  </si>
  <si>
    <t>Allocate payroll costs to service lines (audit, accounting, tax) per timesheet data</t>
  </si>
  <si>
    <t>Post partner drawings and profit distributions per the partnership/shareholder agreement</t>
  </si>
  <si>
    <t>Reconcile total payroll cost to the general ledger posting</t>
  </si>
  <si>
    <t xml:space="preserve">  Lock-up, Utilisation &amp; Engagement Profitability</t>
  </si>
  <si>
    <t>Lock-up, Utilisation &amp; Engagement Profitability</t>
  </si>
  <si>
    <t>Lock-up</t>
  </si>
  <si>
    <t>Calculate month-end WIP days by engagement and service line</t>
  </si>
  <si>
    <t>Calculate month-end debtor days by client and service line</t>
  </si>
  <si>
    <t>Calculate total lock-up days (WIP days + debtor days) for the firm</t>
  </si>
  <si>
    <t>Utilisation</t>
  </si>
  <si>
    <t>Calculate chargeable utilisation rates per staff member (chargeable hours / available hours)</t>
  </si>
  <si>
    <t>Flag fee earners with utilisation below target to the relevant manager/partner</t>
  </si>
  <si>
    <t>Engagement profitability</t>
  </si>
  <si>
    <t>Prepare month-end engagement profitability report — fees vs cost per engagement</t>
  </si>
  <si>
    <t>Identify engagements with negative margins or cost overruns; report to partners</t>
  </si>
  <si>
    <t>Calculate realisation rates (fees billed / WIP generated) by service line and partner</t>
  </si>
  <si>
    <t xml:space="preserve">  Quality Control &amp; Professional Compliance</t>
  </si>
  <si>
    <t>Quality Control &amp; Professional Compliance</t>
  </si>
  <si>
    <t>QC review</t>
  </si>
  <si>
    <t>Confirm all audit, accounting, and tax deliverables issued this month have been reviewed at the correct level (manager/partner)</t>
  </si>
  <si>
    <t>Confirm second partner review (cold review) has been completed where required by firm policy</t>
  </si>
  <si>
    <t>Confirm engagement quality control reviews (EQCR) are in progress for applicable audits</t>
  </si>
  <si>
    <t>Independence</t>
  </si>
  <si>
    <t>Confirm no new independence threats or conflicts of interest have arisen for any active engagement</t>
  </si>
  <si>
    <t>Confirm all new client acceptance and conflict checks are completed and documented this month</t>
  </si>
  <si>
    <t>CPD &amp; licensing</t>
  </si>
  <si>
    <t>Confirm all professional staff CPD hours are being recorded and are on track for the year</t>
  </si>
  <si>
    <t>Confirm all practising certificates and professional memberships (ICPAK, ICPAS, etc.) are current</t>
  </si>
  <si>
    <t>Risk</t>
  </si>
  <si>
    <t>Review the firm risk register; flag any new risks arising from active client engagements</t>
  </si>
  <si>
    <t>Confirm professional indemnity insurance is current and adequate for the firm's engagements</t>
  </si>
  <si>
    <t xml:space="preserve">  Management Reporting &amp; Governance</t>
  </si>
  <si>
    <t>Management Reporting &amp; Governance</t>
  </si>
  <si>
    <t>Reports</t>
  </si>
  <si>
    <t>Prepare monthly management accounts — P&amp;L by service line, balance sheet, cash flow</t>
  </si>
  <si>
    <t>Prepare monthly engagement dashboard — WIP, billings, lock-up, utilisation, realisations</t>
  </si>
  <si>
    <t>Prepare tax compliance dashboard — filing status per client and obligation for the month</t>
  </si>
  <si>
    <t>Circulate management pack to partners within the agreed reporting deadline</t>
  </si>
  <si>
    <t>Governance</t>
  </si>
  <si>
    <t>Review and action any outstanding regulatory, ICPAK, or internal quality findings</t>
  </si>
  <si>
    <t>Confirm all financial authorisations and delegated authority limits are being observed</t>
  </si>
  <si>
    <t>Update the firm risk register with any new risks identified this month</t>
  </si>
  <si>
    <t>File all month-end working papers and supporting documents per retention policy</t>
  </si>
  <si>
    <t>Monthly Checklist — Summary by Section</t>
  </si>
  <si>
    <t>Confirmed by  HOD status</t>
  </si>
  <si>
    <t>Section</t>
  </si>
  <si>
    <t>Sub-categories</t>
  </si>
  <si>
    <t>Total Items</t>
  </si>
  <si>
    <t>Pending / Other</t>
  </si>
  <si>
    <t>Progress</t>
  </si>
  <si>
    <t>TOTAL</t>
  </si>
  <si>
    <r>
      <t>Month: _</t>
    </r>
    <r>
      <rPr>
        <b/>
        <sz val="10"/>
        <color rgb="FF888780"/>
        <rFont val="Arial"/>
        <family val="2"/>
      </rPr>
      <t>June_</t>
    </r>
    <r>
      <rPr>
        <sz val="10"/>
        <color rgb="FF888780"/>
        <rFont val="Arial"/>
      </rPr>
      <t>_______  |  Prepared by: ___Gregory______  |  Date: ___11/7/2026___  |  Reviewed by: _______________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</si>
</sst>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15"/>
      <color rgb="FF1A1A1A"/>
      <name val="Arial"/>
    </font>
    <font>
      <sz val="10"/>
      <color rgb="FF888780"/>
      <name val="Arial"/>
    </font>
    <font>
      <b/>
      <sz val="10"/>
      <color rgb="FFFFFFFF"/>
      <name val="Arial"/>
    </font>
    <font>
      <b/>
      <sz val="10"/>
      <color rgb="FF27500A"/>
      <name val="Arial"/>
    </font>
    <font>
      <sz val="9"/>
      <color rgb="FF888780"/>
      <name val="Arial"/>
    </font>
    <font>
      <sz val="9"/>
      <color rgb="FF27500A"/>
      <name val="Arial"/>
    </font>
    <font>
      <sz val="10"/>
      <color rgb="FF1A1A1A"/>
      <name val="Arial"/>
    </font>
    <font>
      <sz val="9"/>
      <color rgb="FFBA7517"/>
      <name val="Arial"/>
    </font>
    <font>
      <sz val="9"/>
      <name val="Arial"/>
    </font>
    <font>
      <b/>
      <sz val="10"/>
      <color rgb="FF0C447C"/>
      <name val="Arial"/>
    </font>
    <font>
      <sz val="9"/>
      <color rgb="FF0C447C"/>
      <name val="Arial"/>
    </font>
    <font>
      <b/>
      <sz val="10"/>
      <color rgb="FF3C3489"/>
      <name val="Arial"/>
    </font>
    <font>
      <sz val="9"/>
      <color rgb="FF3C3489"/>
      <name val="Arial"/>
    </font>
    <font>
      <b/>
      <sz val="10"/>
      <color rgb="FF633806"/>
      <name val="Arial"/>
    </font>
    <font>
      <sz val="9"/>
      <color rgb="FF633806"/>
      <name val="Arial"/>
    </font>
    <font>
      <b/>
      <sz val="10"/>
      <color rgb="FF042C53"/>
      <name val="Arial"/>
    </font>
    <font>
      <sz val="9"/>
      <color rgb="FF042C53"/>
      <name val="Arial"/>
    </font>
    <font>
      <b/>
      <sz val="10"/>
      <color rgb="FF72243E"/>
      <name val="Arial"/>
    </font>
    <font>
      <sz val="9"/>
      <color rgb="FF72243E"/>
      <name val="Arial"/>
    </font>
    <font>
      <b/>
      <sz val="10"/>
      <color rgb="FF085041"/>
      <name val="Arial"/>
    </font>
    <font>
      <sz val="9"/>
      <color rgb="FF085041"/>
      <name val="Arial"/>
    </font>
    <font>
      <b/>
      <sz val="10"/>
      <color rgb="FF712B13"/>
      <name val="Arial"/>
    </font>
    <font>
      <sz val="9"/>
      <color rgb="FF712B13"/>
      <name val="Arial"/>
    </font>
    <font>
      <b/>
      <sz val="10"/>
      <color rgb="FF444441"/>
      <name val="Arial"/>
    </font>
    <font>
      <sz val="9"/>
      <color rgb="FF444441"/>
      <name val="Arial"/>
    </font>
    <font>
      <b/>
      <sz val="14"/>
      <color rgb="FF1A1A1A"/>
      <name val="Arial"/>
    </font>
    <font>
      <sz val="10"/>
      <name val="Arial"/>
    </font>
    <font>
      <sz val="10"/>
      <color rgb="FF3B6D11"/>
      <name val="Arial"/>
    </font>
    <font>
      <sz val="10"/>
      <color rgb="FFBA7517"/>
      <name val="Arial"/>
    </font>
    <font>
      <b/>
      <sz val="10"/>
      <color rgb="FF888780"/>
      <name val="Arial"/>
      <family val="2"/>
    </font>
    <font>
      <sz val="10"/>
      <color rgb="FF88878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8F8F6"/>
      </patternFill>
    </fill>
    <fill>
      <patternFill patternType="solid">
        <fgColor rgb="FF2C2C2A"/>
      </patternFill>
    </fill>
    <fill>
      <patternFill patternType="solid">
        <fgColor rgb="FFEAF3DE"/>
      </patternFill>
    </fill>
    <fill>
      <patternFill patternType="solid">
        <fgColor rgb="FFF4F9EE"/>
      </patternFill>
    </fill>
    <fill>
      <patternFill patternType="solid">
        <fgColor rgb="FFFAEEDA"/>
      </patternFill>
    </fill>
    <fill>
      <patternFill patternType="solid">
        <fgColor rgb="FFE6F1FB"/>
      </patternFill>
    </fill>
    <fill>
      <patternFill patternType="solid">
        <fgColor rgb="FFF2F8FD"/>
      </patternFill>
    </fill>
    <fill>
      <patternFill patternType="solid">
        <fgColor rgb="FFEEEDFE"/>
      </patternFill>
    </fill>
    <fill>
      <patternFill patternType="solid">
        <fgColor rgb="FFF7F7FE"/>
      </patternFill>
    </fill>
    <fill>
      <patternFill patternType="solid">
        <fgColor rgb="FFFDF6ED"/>
      </patternFill>
    </fill>
    <fill>
      <patternFill patternType="solid">
        <fgColor rgb="FFB5D4F4"/>
      </patternFill>
    </fill>
    <fill>
      <patternFill patternType="solid">
        <fgColor rgb="FFEEF6FC"/>
      </patternFill>
    </fill>
    <fill>
      <patternFill patternType="solid">
        <fgColor rgb="FFFBEAF0"/>
      </patternFill>
    </fill>
    <fill>
      <patternFill patternType="solid">
        <fgColor rgb="FFFEF4F7"/>
      </patternFill>
    </fill>
    <fill>
      <patternFill patternType="solid">
        <fgColor rgb="FFE1F5EE"/>
      </patternFill>
    </fill>
    <fill>
      <patternFill patternType="solid">
        <fgColor rgb="FFF0FAF5"/>
      </patternFill>
    </fill>
    <fill>
      <patternFill patternType="solid">
        <fgColor rgb="FFFAECE7"/>
      </patternFill>
    </fill>
    <fill>
      <patternFill patternType="solid">
        <fgColor rgb="FFFDF4F1"/>
      </patternFill>
    </fill>
    <fill>
      <patternFill patternType="solid">
        <fgColor rgb="FFF1EFE8"/>
      </patternFill>
    </fill>
    <fill>
      <patternFill patternType="solid">
        <fgColor rgb="FFF8F7F4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 wrapText="1"/>
    </xf>
    <xf numFmtId="0" fontId="15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left" vertical="center" wrapText="1"/>
    </xf>
    <xf numFmtId="0" fontId="16" fillId="12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 wrapText="1"/>
    </xf>
    <xf numFmtId="0" fontId="17" fillId="13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left" vertical="center" wrapText="1"/>
    </xf>
    <xf numFmtId="0" fontId="18" fillId="14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left" vertical="center" wrapText="1"/>
    </xf>
    <xf numFmtId="0" fontId="19" fillId="15" borderId="1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left" vertical="center"/>
    </xf>
    <xf numFmtId="0" fontId="9" fillId="15" borderId="1" xfId="0" applyFont="1" applyFill="1" applyBorder="1" applyAlignment="1">
      <alignment horizontal="left" vertical="center" wrapText="1"/>
    </xf>
    <xf numFmtId="0" fontId="20" fillId="16" borderId="1" xfId="0" applyFont="1" applyFill="1" applyBorder="1" applyAlignment="1">
      <alignment horizontal="left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left" vertical="center" wrapText="1"/>
    </xf>
    <xf numFmtId="0" fontId="21" fillId="17" borderId="1" xfId="0" applyFont="1" applyFill="1" applyBorder="1" applyAlignment="1">
      <alignment horizontal="left" vertical="center" wrapText="1"/>
    </xf>
    <xf numFmtId="0" fontId="7" fillId="17" borderId="1" xfId="0" applyFont="1" applyFill="1" applyBorder="1" applyAlignment="1">
      <alignment horizontal="left" vertical="center" wrapText="1"/>
    </xf>
    <xf numFmtId="0" fontId="9" fillId="17" borderId="1" xfId="0" applyFont="1" applyFill="1" applyBorder="1" applyAlignment="1">
      <alignment horizontal="left" vertical="center"/>
    </xf>
    <xf numFmtId="0" fontId="9" fillId="17" borderId="1" xfId="0" applyFont="1" applyFill="1" applyBorder="1" applyAlignment="1">
      <alignment horizontal="left" vertical="center" wrapText="1"/>
    </xf>
    <xf numFmtId="0" fontId="22" fillId="18" borderId="1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left" vertical="center" wrapText="1"/>
    </xf>
    <xf numFmtId="0" fontId="23" fillId="19" borderId="1" xfId="0" applyFont="1" applyFill="1" applyBorder="1" applyAlignment="1">
      <alignment horizontal="left" vertical="center" wrapText="1"/>
    </xf>
    <xf numFmtId="0" fontId="7" fillId="19" borderId="1" xfId="0" applyFont="1" applyFill="1" applyBorder="1" applyAlignment="1">
      <alignment horizontal="left" vertical="center" wrapText="1"/>
    </xf>
    <xf numFmtId="0" fontId="9" fillId="19" borderId="1" xfId="0" applyFont="1" applyFill="1" applyBorder="1" applyAlignment="1">
      <alignment horizontal="left" vertical="center"/>
    </xf>
    <xf numFmtId="0" fontId="9" fillId="19" borderId="1" xfId="0" applyFont="1" applyFill="1" applyBorder="1" applyAlignment="1">
      <alignment horizontal="left" vertical="center" wrapText="1"/>
    </xf>
    <xf numFmtId="0" fontId="24" fillId="20" borderId="1" xfId="0" applyFont="1" applyFill="1" applyBorder="1" applyAlignment="1">
      <alignment horizontal="left" vertical="center"/>
    </xf>
    <xf numFmtId="0" fontId="5" fillId="21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left" vertical="center" wrapText="1"/>
    </xf>
    <xf numFmtId="0" fontId="25" fillId="21" borderId="1" xfId="0" applyFont="1" applyFill="1" applyBorder="1" applyAlignment="1">
      <alignment horizontal="left" vertical="center" wrapText="1"/>
    </xf>
    <xf numFmtId="0" fontId="7" fillId="21" borderId="1" xfId="0" applyFont="1" applyFill="1" applyBorder="1" applyAlignment="1">
      <alignment horizontal="left" vertical="center" wrapText="1"/>
    </xf>
    <xf numFmtId="0" fontId="9" fillId="21" borderId="1" xfId="0" applyFont="1" applyFill="1" applyBorder="1" applyAlignment="1">
      <alignment horizontal="left" vertical="center"/>
    </xf>
    <xf numFmtId="0" fontId="9" fillId="21" borderId="1" xfId="0" applyFont="1" applyFill="1" applyBorder="1" applyAlignment="1">
      <alignment horizontal="left" vertical="center" wrapText="1"/>
    </xf>
    <xf numFmtId="0" fontId="27" fillId="5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9" fontId="27" fillId="5" borderId="1" xfId="0" applyNumberFormat="1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/>
    </xf>
    <xf numFmtId="9" fontId="27" fillId="8" borderId="1" xfId="0" applyNumberFormat="1" applyFont="1" applyFill="1" applyBorder="1" applyAlignment="1">
      <alignment horizontal="center" vertical="center"/>
    </xf>
    <xf numFmtId="0" fontId="27" fillId="10" borderId="1" xfId="0" applyFont="1" applyFill="1" applyBorder="1" applyAlignment="1">
      <alignment horizontal="center" vertical="center"/>
    </xf>
    <xf numFmtId="0" fontId="28" fillId="10" borderId="1" xfId="0" applyFont="1" applyFill="1" applyBorder="1" applyAlignment="1">
      <alignment horizontal="center" vertical="center"/>
    </xf>
    <xf numFmtId="0" fontId="29" fillId="10" borderId="1" xfId="0" applyFont="1" applyFill="1" applyBorder="1" applyAlignment="1">
      <alignment horizontal="center" vertical="center"/>
    </xf>
    <xf numFmtId="9" fontId="27" fillId="10" borderId="1" xfId="0" applyNumberFormat="1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 vertical="center"/>
    </xf>
    <xf numFmtId="0" fontId="28" fillId="11" borderId="1" xfId="0" applyFont="1" applyFill="1" applyBorder="1" applyAlignment="1">
      <alignment horizontal="center" vertical="center"/>
    </xf>
    <xf numFmtId="0" fontId="29" fillId="11" borderId="1" xfId="0" applyFont="1" applyFill="1" applyBorder="1" applyAlignment="1">
      <alignment horizontal="center" vertical="center"/>
    </xf>
    <xf numFmtId="9" fontId="27" fillId="11" borderId="1" xfId="0" applyNumberFormat="1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/>
    </xf>
    <xf numFmtId="0" fontId="29" fillId="13" borderId="1" xfId="0" applyFont="1" applyFill="1" applyBorder="1" applyAlignment="1">
      <alignment horizontal="center" vertical="center"/>
    </xf>
    <xf numFmtId="9" fontId="27" fillId="13" borderId="1" xfId="0" applyNumberFormat="1" applyFont="1" applyFill="1" applyBorder="1" applyAlignment="1">
      <alignment horizontal="center" vertical="center"/>
    </xf>
    <xf numFmtId="0" fontId="27" fillId="15" borderId="1" xfId="0" applyFont="1" applyFill="1" applyBorder="1" applyAlignment="1">
      <alignment horizontal="center" vertical="center"/>
    </xf>
    <xf numFmtId="0" fontId="28" fillId="15" borderId="1" xfId="0" applyFont="1" applyFill="1" applyBorder="1" applyAlignment="1">
      <alignment horizontal="center" vertical="center"/>
    </xf>
    <xf numFmtId="0" fontId="29" fillId="15" borderId="1" xfId="0" applyFont="1" applyFill="1" applyBorder="1" applyAlignment="1">
      <alignment horizontal="center" vertical="center"/>
    </xf>
    <xf numFmtId="9" fontId="27" fillId="15" borderId="1" xfId="0" applyNumberFormat="1" applyFont="1" applyFill="1" applyBorder="1" applyAlignment="1">
      <alignment horizontal="center" vertical="center"/>
    </xf>
    <xf numFmtId="0" fontId="27" fillId="17" borderId="1" xfId="0" applyFont="1" applyFill="1" applyBorder="1" applyAlignment="1">
      <alignment horizontal="center" vertical="center"/>
    </xf>
    <xf numFmtId="0" fontId="28" fillId="17" borderId="1" xfId="0" applyFont="1" applyFill="1" applyBorder="1" applyAlignment="1">
      <alignment horizontal="center" vertical="center"/>
    </xf>
    <xf numFmtId="0" fontId="29" fillId="17" borderId="1" xfId="0" applyFont="1" applyFill="1" applyBorder="1" applyAlignment="1">
      <alignment horizontal="center" vertical="center"/>
    </xf>
    <xf numFmtId="9" fontId="27" fillId="17" borderId="1" xfId="0" applyNumberFormat="1" applyFont="1" applyFill="1" applyBorder="1" applyAlignment="1">
      <alignment horizontal="center" vertical="center"/>
    </xf>
    <xf numFmtId="0" fontId="27" fillId="19" borderId="1" xfId="0" applyFont="1" applyFill="1" applyBorder="1" applyAlignment="1">
      <alignment horizontal="center" vertical="center"/>
    </xf>
    <xf numFmtId="0" fontId="28" fillId="19" borderId="1" xfId="0" applyFont="1" applyFill="1" applyBorder="1" applyAlignment="1">
      <alignment horizontal="center" vertical="center"/>
    </xf>
    <xf numFmtId="0" fontId="29" fillId="19" borderId="1" xfId="0" applyFont="1" applyFill="1" applyBorder="1" applyAlignment="1">
      <alignment horizontal="center" vertical="center"/>
    </xf>
    <xf numFmtId="9" fontId="27" fillId="19" borderId="1" xfId="0" applyNumberFormat="1" applyFont="1" applyFill="1" applyBorder="1" applyAlignment="1">
      <alignment horizontal="center" vertical="center"/>
    </xf>
    <xf numFmtId="0" fontId="27" fillId="21" borderId="1" xfId="0" applyFont="1" applyFill="1" applyBorder="1" applyAlignment="1">
      <alignment horizontal="center" vertical="center"/>
    </xf>
    <xf numFmtId="0" fontId="28" fillId="21" borderId="1" xfId="0" applyFont="1" applyFill="1" applyBorder="1" applyAlignment="1">
      <alignment horizontal="center" vertical="center"/>
    </xf>
    <xf numFmtId="0" fontId="29" fillId="21" borderId="1" xfId="0" applyFont="1" applyFill="1" applyBorder="1" applyAlignment="1">
      <alignment horizontal="center" vertical="center"/>
    </xf>
    <xf numFmtId="9" fontId="27" fillId="21" borderId="1" xfId="0" applyNumberFormat="1" applyFont="1" applyFill="1" applyBorder="1" applyAlignment="1">
      <alignment horizontal="center" vertical="center"/>
    </xf>
    <xf numFmtId="9" fontId="3" fillId="3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0" fontId="0" fillId="7" borderId="1" xfId="0" applyFill="1" applyBorder="1"/>
    <xf numFmtId="0" fontId="0" fillId="9" borderId="1" xfId="0" applyFill="1" applyBorder="1"/>
    <xf numFmtId="0" fontId="0" fillId="6" borderId="1" xfId="0" applyFill="1" applyBorder="1"/>
    <xf numFmtId="0" fontId="0" fillId="12" borderId="1" xfId="0" applyFill="1" applyBorder="1"/>
    <xf numFmtId="0" fontId="0" fillId="14" borderId="1" xfId="0" applyFill="1" applyBorder="1"/>
    <xf numFmtId="0" fontId="0" fillId="16" borderId="1" xfId="0" applyFill="1" applyBorder="1"/>
    <xf numFmtId="0" fontId="0" fillId="18" borderId="1" xfId="0" applyFill="1" applyBorder="1"/>
    <xf numFmtId="0" fontId="0" fillId="20" borderId="1" xfId="0" applyFill="1" applyBorder="1"/>
    <xf numFmtId="0" fontId="12" fillId="9" borderId="1" xfId="0" applyFont="1" applyFill="1" applyBorder="1" applyAlignment="1">
      <alignment horizontal="left" vertical="center"/>
    </xf>
    <xf numFmtId="0" fontId="0" fillId="9" borderId="1" xfId="0" applyFill="1" applyBorder="1"/>
    <xf numFmtId="0" fontId="0" fillId="0" borderId="0" xfId="0"/>
    <xf numFmtId="0" fontId="14" fillId="6" borderId="1" xfId="0" applyFont="1" applyFill="1" applyBorder="1" applyAlignment="1">
      <alignment horizontal="left" vertical="center"/>
    </xf>
    <xf numFmtId="0" fontId="0" fillId="6" borderId="1" xfId="0" applyFill="1" applyBorder="1"/>
    <xf numFmtId="0" fontId="16" fillId="12" borderId="1" xfId="0" applyFont="1" applyFill="1" applyBorder="1" applyAlignment="1">
      <alignment horizontal="left" vertical="center"/>
    </xf>
    <xf numFmtId="0" fontId="0" fillId="12" borderId="1" xfId="0" applyFill="1" applyBorder="1"/>
    <xf numFmtId="0" fontId="24" fillId="20" borderId="1" xfId="0" applyFont="1" applyFill="1" applyBorder="1" applyAlignment="1">
      <alignment horizontal="left" vertical="center"/>
    </xf>
    <xf numFmtId="0" fontId="0" fillId="20" borderId="1" xfId="0" applyFill="1" applyBorder="1"/>
    <xf numFmtId="0" fontId="4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1" fillId="2" borderId="0" xfId="0" applyFont="1" applyFill="1" applyAlignment="1">
      <alignment horizontal="left" vertical="center"/>
    </xf>
    <xf numFmtId="0" fontId="22" fillId="18" borderId="1" xfId="0" applyFont="1" applyFill="1" applyBorder="1" applyAlignment="1">
      <alignment horizontal="left" vertical="center"/>
    </xf>
    <xf numFmtId="0" fontId="0" fillId="18" borderId="1" xfId="0" applyFill="1" applyBorder="1"/>
    <xf numFmtId="0" fontId="10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18" fillId="14" borderId="1" xfId="0" applyFont="1" applyFill="1" applyBorder="1" applyAlignment="1">
      <alignment horizontal="left" vertical="center"/>
    </xf>
    <xf numFmtId="0" fontId="0" fillId="14" borderId="1" xfId="0" applyFill="1" applyBorder="1"/>
    <xf numFmtId="0" fontId="20" fillId="16" borderId="1" xfId="0" applyFont="1" applyFill="1" applyBorder="1" applyAlignment="1">
      <alignment horizontal="left" vertical="center"/>
    </xf>
    <xf numFmtId="0" fontId="0" fillId="16" borderId="1" xfId="0" applyFill="1" applyBorder="1"/>
    <xf numFmtId="0" fontId="26" fillId="2" borderId="0" xfId="0" applyFont="1" applyFill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0"/>
  <sheetViews>
    <sheetView tabSelected="1" workbookViewId="0">
      <pane ySplit="4" topLeftCell="A70" activePane="bottomLeft" state="frozen"/>
      <selection pane="bottomLeft" activeCell="A2" sqref="A2:I2"/>
    </sheetView>
  </sheetViews>
  <sheetFormatPr defaultRowHeight="15" customHeight="1" x14ac:dyDescent="0.35"/>
  <cols>
    <col min="1" max="1" width="5" customWidth="1"/>
    <col min="2" max="2" width="30" customWidth="1"/>
    <col min="3" max="3" width="24" customWidth="1"/>
    <col min="4" max="4" width="62" customWidth="1"/>
    <col min="5" max="7" width="14" customWidth="1"/>
    <col min="8" max="8" width="36.81640625" customWidth="1"/>
    <col min="9" max="9" width="28" customWidth="1"/>
    <col min="10" max="10" width="15.7265625" customWidth="1"/>
  </cols>
  <sheetData>
    <row r="1" spans="1:10" ht="36" customHeight="1" x14ac:dyDescent="0.35">
      <c r="A1" s="124" t="s">
        <v>0</v>
      </c>
      <c r="B1" s="115"/>
      <c r="C1" s="115"/>
      <c r="D1" s="115"/>
      <c r="E1" s="115"/>
      <c r="F1" s="115"/>
      <c r="G1" s="115"/>
      <c r="H1" s="115"/>
      <c r="I1" s="115"/>
    </row>
    <row r="2" spans="1:10" ht="22" customHeight="1" x14ac:dyDescent="0.35">
      <c r="A2" s="136" t="s">
        <v>211</v>
      </c>
      <c r="B2" s="115"/>
      <c r="C2" s="115"/>
      <c r="D2" s="115"/>
      <c r="E2" s="115"/>
      <c r="F2" s="115"/>
      <c r="G2" s="115"/>
      <c r="H2" s="115"/>
      <c r="I2" s="115"/>
    </row>
    <row r="3" spans="1:10" ht="8.15" customHeight="1" x14ac:dyDescent="0.35"/>
    <row r="4" spans="1:10" ht="32.25" customHeight="1" x14ac:dyDescent="0.35">
      <c r="A4" s="1" t="s">
        <v>1</v>
      </c>
      <c r="B4" s="1" t="s">
        <v>2</v>
      </c>
      <c r="C4" s="1" t="s">
        <v>3</v>
      </c>
      <c r="D4" s="2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5</v>
      </c>
    </row>
    <row r="5" spans="1:10" ht="20.149999999999999" customHeight="1" x14ac:dyDescent="0.35">
      <c r="A5" s="122" t="s">
        <v>10</v>
      </c>
      <c r="B5" s="123"/>
      <c r="C5" s="123"/>
      <c r="D5" s="123"/>
      <c r="E5" s="123"/>
      <c r="F5" s="123"/>
      <c r="G5" s="123"/>
      <c r="H5" s="123"/>
      <c r="I5" s="123"/>
      <c r="J5" s="104"/>
    </row>
    <row r="6" spans="1:10" ht="30" customHeight="1" x14ac:dyDescent="0.35">
      <c r="A6" s="4">
        <v>1</v>
      </c>
      <c r="B6" s="5" t="s">
        <v>11</v>
      </c>
      <c r="C6" s="6" t="s">
        <v>12</v>
      </c>
      <c r="D6" s="7" t="s">
        <v>13</v>
      </c>
      <c r="E6" s="8" t="s">
        <v>14</v>
      </c>
      <c r="F6" s="8" t="s">
        <v>15</v>
      </c>
      <c r="G6" s="8" t="s">
        <v>16</v>
      </c>
      <c r="H6" s="9"/>
      <c r="I6" s="10"/>
      <c r="J6" s="8" t="s">
        <v>17</v>
      </c>
    </row>
    <row r="7" spans="1:10" ht="30" customHeight="1" x14ac:dyDescent="0.35">
      <c r="A7" s="4">
        <v>2</v>
      </c>
      <c r="B7" s="5" t="s">
        <v>11</v>
      </c>
      <c r="C7" s="6" t="s">
        <v>12</v>
      </c>
      <c r="D7" s="7" t="s">
        <v>18</v>
      </c>
      <c r="E7" s="8" t="s">
        <v>14</v>
      </c>
      <c r="F7" s="8" t="s">
        <v>19</v>
      </c>
      <c r="G7" s="8" t="s">
        <v>16</v>
      </c>
      <c r="H7" s="9"/>
      <c r="I7" s="10"/>
      <c r="J7" s="8" t="s">
        <v>17</v>
      </c>
    </row>
    <row r="8" spans="1:10" ht="30" customHeight="1" x14ac:dyDescent="0.35">
      <c r="A8" s="4">
        <v>3</v>
      </c>
      <c r="B8" s="5" t="s">
        <v>11</v>
      </c>
      <c r="C8" s="6" t="s">
        <v>12</v>
      </c>
      <c r="D8" s="7" t="s">
        <v>20</v>
      </c>
      <c r="E8" s="8" t="s">
        <v>14</v>
      </c>
      <c r="F8" s="8" t="s">
        <v>15</v>
      </c>
      <c r="G8" s="8"/>
      <c r="H8" s="9"/>
      <c r="I8" s="10"/>
      <c r="J8" s="8" t="s">
        <v>17</v>
      </c>
    </row>
    <row r="9" spans="1:10" ht="30" customHeight="1" x14ac:dyDescent="0.35">
      <c r="A9" s="4">
        <v>4</v>
      </c>
      <c r="B9" s="5" t="s">
        <v>11</v>
      </c>
      <c r="C9" s="6" t="s">
        <v>12</v>
      </c>
      <c r="D9" s="7" t="s">
        <v>21</v>
      </c>
      <c r="E9" s="8" t="s">
        <v>14</v>
      </c>
      <c r="F9" s="8" t="s">
        <v>15</v>
      </c>
      <c r="G9" s="8"/>
      <c r="H9" s="9"/>
      <c r="I9" s="10"/>
      <c r="J9" s="8" t="s">
        <v>17</v>
      </c>
    </row>
    <row r="10" spans="1:10" ht="30" customHeight="1" x14ac:dyDescent="0.35">
      <c r="A10" s="4">
        <v>5</v>
      </c>
      <c r="B10" s="5" t="s">
        <v>11</v>
      </c>
      <c r="C10" s="6" t="s">
        <v>22</v>
      </c>
      <c r="D10" s="7" t="s">
        <v>23</v>
      </c>
      <c r="E10" s="8" t="s">
        <v>16</v>
      </c>
      <c r="F10" s="8" t="s">
        <v>15</v>
      </c>
      <c r="G10" s="8"/>
      <c r="H10" s="9"/>
      <c r="I10" s="10"/>
      <c r="J10" s="8" t="s">
        <v>17</v>
      </c>
    </row>
    <row r="11" spans="1:10" ht="30" customHeight="1" x14ac:dyDescent="0.35">
      <c r="A11" s="4">
        <v>8</v>
      </c>
      <c r="B11" s="5" t="s">
        <v>11</v>
      </c>
      <c r="C11" s="6" t="s">
        <v>22</v>
      </c>
      <c r="D11" s="7" t="s">
        <v>24</v>
      </c>
      <c r="E11" s="8" t="s">
        <v>17</v>
      </c>
      <c r="F11" s="8" t="s">
        <v>15</v>
      </c>
      <c r="G11" s="8"/>
      <c r="H11" s="9"/>
      <c r="I11" s="10"/>
      <c r="J11" s="8" t="s">
        <v>17</v>
      </c>
    </row>
    <row r="12" spans="1:10" ht="30" customHeight="1" x14ac:dyDescent="0.35">
      <c r="A12" s="4">
        <v>9</v>
      </c>
      <c r="B12" s="5" t="s">
        <v>11</v>
      </c>
      <c r="C12" s="6" t="s">
        <v>25</v>
      </c>
      <c r="D12" s="7" t="s">
        <v>26</v>
      </c>
      <c r="E12" s="8" t="s">
        <v>17</v>
      </c>
      <c r="F12" s="8" t="s">
        <v>15</v>
      </c>
      <c r="G12" s="8"/>
      <c r="H12" s="9"/>
      <c r="I12" s="10"/>
      <c r="J12" s="8" t="s">
        <v>17</v>
      </c>
    </row>
    <row r="13" spans="1:10" ht="30" customHeight="1" x14ac:dyDescent="0.35">
      <c r="A13" s="4">
        <v>10</v>
      </c>
      <c r="B13" s="5" t="s">
        <v>11</v>
      </c>
      <c r="C13" s="6" t="s">
        <v>25</v>
      </c>
      <c r="D13" s="7" t="s">
        <v>27</v>
      </c>
      <c r="E13" s="8" t="s">
        <v>17</v>
      </c>
      <c r="F13" s="8" t="s">
        <v>15</v>
      </c>
      <c r="G13" s="8"/>
      <c r="H13" s="9"/>
      <c r="I13" s="10"/>
      <c r="J13" s="8" t="s">
        <v>17</v>
      </c>
    </row>
    <row r="14" spans="1:10" ht="30" customHeight="1" x14ac:dyDescent="0.35">
      <c r="A14" s="4">
        <v>11</v>
      </c>
      <c r="B14" s="5" t="s">
        <v>11</v>
      </c>
      <c r="C14" s="6" t="s">
        <v>25</v>
      </c>
      <c r="D14" s="7" t="s">
        <v>28</v>
      </c>
      <c r="E14" s="8" t="s">
        <v>17</v>
      </c>
      <c r="F14" s="8" t="s">
        <v>15</v>
      </c>
      <c r="G14" s="8"/>
      <c r="H14" s="9"/>
      <c r="I14" s="10"/>
      <c r="J14" s="8" t="s">
        <v>17</v>
      </c>
    </row>
    <row r="15" spans="1:10" ht="30" customHeight="1" x14ac:dyDescent="0.35">
      <c r="A15" s="4">
        <v>12</v>
      </c>
      <c r="B15" s="5" t="s">
        <v>11</v>
      </c>
      <c r="C15" s="6" t="s">
        <v>25</v>
      </c>
      <c r="D15" s="7" t="s">
        <v>29</v>
      </c>
      <c r="E15" s="8" t="s">
        <v>17</v>
      </c>
      <c r="F15" s="8" t="s">
        <v>15</v>
      </c>
      <c r="G15" s="8"/>
      <c r="H15" s="9"/>
      <c r="I15" s="10"/>
      <c r="J15" s="8" t="s">
        <v>17</v>
      </c>
    </row>
    <row r="16" spans="1:10" ht="30" customHeight="1" x14ac:dyDescent="0.35">
      <c r="A16" s="4">
        <v>13</v>
      </c>
      <c r="B16" s="5" t="s">
        <v>11</v>
      </c>
      <c r="C16" s="6" t="s">
        <v>30</v>
      </c>
      <c r="D16" s="7" t="s">
        <v>31</v>
      </c>
      <c r="E16" s="8" t="s">
        <v>17</v>
      </c>
      <c r="F16" s="8" t="s">
        <v>15</v>
      </c>
      <c r="G16" s="8"/>
      <c r="H16" s="9"/>
      <c r="I16" s="10"/>
      <c r="J16" s="8" t="s">
        <v>17</v>
      </c>
    </row>
    <row r="17" spans="1:10" ht="30" customHeight="1" x14ac:dyDescent="0.35">
      <c r="A17" s="4">
        <v>14</v>
      </c>
      <c r="B17" s="5" t="s">
        <v>11</v>
      </c>
      <c r="C17" s="6" t="s">
        <v>30</v>
      </c>
      <c r="D17" s="7" t="s">
        <v>32</v>
      </c>
      <c r="E17" s="8" t="s">
        <v>17</v>
      </c>
      <c r="F17" s="8" t="s">
        <v>15</v>
      </c>
      <c r="G17" s="8"/>
      <c r="H17" s="9"/>
      <c r="I17" s="10"/>
      <c r="J17" s="8" t="s">
        <v>17</v>
      </c>
    </row>
    <row r="18" spans="1:10" ht="30" customHeight="1" x14ac:dyDescent="0.35">
      <c r="A18" s="4">
        <v>15</v>
      </c>
      <c r="B18" s="5" t="s">
        <v>11</v>
      </c>
      <c r="C18" s="6" t="s">
        <v>30</v>
      </c>
      <c r="D18" s="7" t="s">
        <v>33</v>
      </c>
      <c r="E18" s="8" t="s">
        <v>17</v>
      </c>
      <c r="F18" s="8" t="s">
        <v>15</v>
      </c>
      <c r="G18" s="8"/>
      <c r="H18" s="9"/>
      <c r="I18" s="10"/>
      <c r="J18" s="8" t="s">
        <v>17</v>
      </c>
    </row>
    <row r="19" spans="1:10" ht="30" customHeight="1" x14ac:dyDescent="0.35">
      <c r="A19" s="4">
        <v>16</v>
      </c>
      <c r="B19" s="5" t="s">
        <v>11</v>
      </c>
      <c r="C19" s="6" t="s">
        <v>30</v>
      </c>
      <c r="D19" s="7" t="s">
        <v>34</v>
      </c>
      <c r="E19" s="8" t="s">
        <v>17</v>
      </c>
      <c r="F19" s="8" t="s">
        <v>15</v>
      </c>
      <c r="G19" s="8"/>
      <c r="H19" s="9"/>
      <c r="I19" s="10"/>
      <c r="J19" s="8" t="s">
        <v>17</v>
      </c>
    </row>
    <row r="20" spans="1:10" ht="20.149999999999999" customHeight="1" x14ac:dyDescent="0.35">
      <c r="A20" s="127" t="s">
        <v>35</v>
      </c>
      <c r="B20" s="128"/>
      <c r="C20" s="128"/>
      <c r="D20" s="128"/>
      <c r="E20" s="128"/>
      <c r="F20" s="128"/>
      <c r="G20" s="128"/>
      <c r="H20" s="128"/>
      <c r="I20" s="128"/>
      <c r="J20" s="105"/>
    </row>
    <row r="21" spans="1:10" ht="30" customHeight="1" x14ac:dyDescent="0.35">
      <c r="A21" s="12">
        <v>17</v>
      </c>
      <c r="B21" s="13" t="s">
        <v>36</v>
      </c>
      <c r="C21" s="14" t="s">
        <v>37</v>
      </c>
      <c r="D21" s="15" t="s">
        <v>38</v>
      </c>
      <c r="E21" s="8" t="s">
        <v>17</v>
      </c>
      <c r="F21" s="8" t="s">
        <v>19</v>
      </c>
      <c r="G21" s="8"/>
      <c r="H21" s="16"/>
      <c r="I21" s="17"/>
      <c r="J21" s="8" t="s">
        <v>17</v>
      </c>
    </row>
    <row r="22" spans="1:10" ht="30" customHeight="1" x14ac:dyDescent="0.35">
      <c r="A22" s="12">
        <v>18</v>
      </c>
      <c r="B22" s="13" t="s">
        <v>36</v>
      </c>
      <c r="C22" s="14" t="s">
        <v>37</v>
      </c>
      <c r="D22" s="15" t="s">
        <v>39</v>
      </c>
      <c r="E22" s="8" t="s">
        <v>17</v>
      </c>
      <c r="F22" s="8" t="s">
        <v>19</v>
      </c>
      <c r="G22" s="8"/>
      <c r="H22" s="16"/>
      <c r="I22" s="17"/>
      <c r="J22" s="8" t="s">
        <v>17</v>
      </c>
    </row>
    <row r="23" spans="1:10" ht="30" customHeight="1" x14ac:dyDescent="0.35">
      <c r="A23" s="12">
        <v>19</v>
      </c>
      <c r="B23" s="13" t="s">
        <v>36</v>
      </c>
      <c r="C23" s="14" t="s">
        <v>37</v>
      </c>
      <c r="D23" s="15" t="s">
        <v>40</v>
      </c>
      <c r="E23" s="8" t="s">
        <v>17</v>
      </c>
      <c r="F23" s="8" t="s">
        <v>19</v>
      </c>
      <c r="G23" s="8"/>
      <c r="H23" s="16"/>
      <c r="I23" s="17"/>
      <c r="J23" s="8" t="s">
        <v>17</v>
      </c>
    </row>
    <row r="24" spans="1:10" ht="30" customHeight="1" x14ac:dyDescent="0.35">
      <c r="A24" s="12">
        <v>20</v>
      </c>
      <c r="B24" s="13" t="s">
        <v>36</v>
      </c>
      <c r="C24" s="14" t="s">
        <v>37</v>
      </c>
      <c r="D24" s="15" t="s">
        <v>41</v>
      </c>
      <c r="E24" s="8" t="s">
        <v>17</v>
      </c>
      <c r="F24" s="8" t="s">
        <v>42</v>
      </c>
      <c r="G24" s="8"/>
      <c r="H24" s="16"/>
      <c r="I24" s="17"/>
      <c r="J24" s="8" t="s">
        <v>17</v>
      </c>
    </row>
    <row r="25" spans="1:10" ht="30" customHeight="1" x14ac:dyDescent="0.35">
      <c r="A25" s="12">
        <v>21</v>
      </c>
      <c r="B25" s="13" t="s">
        <v>36</v>
      </c>
      <c r="C25" s="14" t="s">
        <v>43</v>
      </c>
      <c r="D25" s="15" t="s">
        <v>44</v>
      </c>
      <c r="E25" s="8" t="s">
        <v>17</v>
      </c>
      <c r="F25" s="8" t="s">
        <v>42</v>
      </c>
      <c r="G25" s="8"/>
      <c r="H25" s="16"/>
      <c r="I25" s="17"/>
      <c r="J25" s="8" t="s">
        <v>17</v>
      </c>
    </row>
    <row r="26" spans="1:10" ht="30" customHeight="1" x14ac:dyDescent="0.35">
      <c r="A26" s="12">
        <v>22</v>
      </c>
      <c r="B26" s="13" t="s">
        <v>36</v>
      </c>
      <c r="C26" s="14" t="s">
        <v>43</v>
      </c>
      <c r="D26" s="15" t="s">
        <v>45</v>
      </c>
      <c r="E26" s="8" t="s">
        <v>17</v>
      </c>
      <c r="F26" s="8" t="s">
        <v>42</v>
      </c>
      <c r="G26" s="8"/>
      <c r="H26" s="16"/>
      <c r="I26" s="17"/>
      <c r="J26" s="8" t="s">
        <v>17</v>
      </c>
    </row>
    <row r="27" spans="1:10" ht="30" customHeight="1" x14ac:dyDescent="0.35">
      <c r="A27" s="12">
        <v>23</v>
      </c>
      <c r="B27" s="13" t="s">
        <v>36</v>
      </c>
      <c r="C27" s="14" t="s">
        <v>43</v>
      </c>
      <c r="D27" s="15" t="s">
        <v>46</v>
      </c>
      <c r="E27" s="8" t="s">
        <v>17</v>
      </c>
      <c r="F27" s="8" t="s">
        <v>42</v>
      </c>
      <c r="G27" s="8"/>
      <c r="H27" s="16"/>
      <c r="I27" s="17"/>
      <c r="J27" s="8" t="s">
        <v>17</v>
      </c>
    </row>
    <row r="28" spans="1:10" ht="30" customHeight="1" x14ac:dyDescent="0.35">
      <c r="A28" s="12">
        <v>24</v>
      </c>
      <c r="B28" s="13" t="s">
        <v>36</v>
      </c>
      <c r="C28" s="14" t="s">
        <v>43</v>
      </c>
      <c r="D28" s="15" t="s">
        <v>47</v>
      </c>
      <c r="E28" s="8" t="s">
        <v>17</v>
      </c>
      <c r="F28" s="8" t="s">
        <v>42</v>
      </c>
      <c r="G28" s="8"/>
      <c r="H28" s="16"/>
      <c r="I28" s="17"/>
      <c r="J28" s="8" t="s">
        <v>17</v>
      </c>
    </row>
    <row r="29" spans="1:10" ht="30" customHeight="1" x14ac:dyDescent="0.35">
      <c r="A29" s="12">
        <v>25</v>
      </c>
      <c r="B29" s="13" t="s">
        <v>36</v>
      </c>
      <c r="C29" s="14" t="s">
        <v>48</v>
      </c>
      <c r="D29" s="15" t="s">
        <v>49</v>
      </c>
      <c r="E29" s="8" t="s">
        <v>17</v>
      </c>
      <c r="F29" s="8" t="s">
        <v>42</v>
      </c>
      <c r="G29" s="8"/>
      <c r="H29" s="16"/>
      <c r="I29" s="17"/>
      <c r="J29" s="8" t="s">
        <v>17</v>
      </c>
    </row>
    <row r="30" spans="1:10" ht="30" customHeight="1" x14ac:dyDescent="0.35">
      <c r="A30" s="12">
        <v>26</v>
      </c>
      <c r="B30" s="13" t="s">
        <v>36</v>
      </c>
      <c r="C30" s="14" t="s">
        <v>48</v>
      </c>
      <c r="D30" s="15" t="s">
        <v>50</v>
      </c>
      <c r="E30" s="8" t="s">
        <v>17</v>
      </c>
      <c r="F30" s="8" t="s">
        <v>42</v>
      </c>
      <c r="G30" s="8"/>
      <c r="H30" s="16"/>
      <c r="I30" s="17"/>
      <c r="J30" s="8" t="s">
        <v>17</v>
      </c>
    </row>
    <row r="31" spans="1:10" ht="30" customHeight="1" x14ac:dyDescent="0.35">
      <c r="A31" s="12">
        <v>27</v>
      </c>
      <c r="B31" s="13" t="s">
        <v>36</v>
      </c>
      <c r="C31" s="14" t="s">
        <v>48</v>
      </c>
      <c r="D31" s="15" t="s">
        <v>51</v>
      </c>
      <c r="E31" s="8" t="s">
        <v>17</v>
      </c>
      <c r="F31" s="8" t="s">
        <v>42</v>
      </c>
      <c r="G31" s="8"/>
      <c r="H31" s="16"/>
      <c r="I31" s="17"/>
      <c r="J31" s="8" t="s">
        <v>17</v>
      </c>
    </row>
    <row r="32" spans="1:10" ht="30" customHeight="1" x14ac:dyDescent="0.35">
      <c r="A32" s="12">
        <v>28</v>
      </c>
      <c r="B32" s="13" t="s">
        <v>36</v>
      </c>
      <c r="C32" s="14" t="s">
        <v>52</v>
      </c>
      <c r="D32" s="15" t="s">
        <v>53</v>
      </c>
      <c r="E32" s="8" t="s">
        <v>17</v>
      </c>
      <c r="F32" s="8" t="s">
        <v>42</v>
      </c>
      <c r="G32" s="8"/>
      <c r="H32" s="16"/>
      <c r="I32" s="17"/>
      <c r="J32" s="8" t="s">
        <v>17</v>
      </c>
    </row>
    <row r="33" spans="1:10" ht="20.149999999999999" customHeight="1" x14ac:dyDescent="0.35">
      <c r="A33" s="113" t="s">
        <v>54</v>
      </c>
      <c r="B33" s="114"/>
      <c r="C33" s="114"/>
      <c r="D33" s="114"/>
      <c r="E33" s="114"/>
      <c r="F33" s="114"/>
      <c r="G33" s="114"/>
      <c r="H33" s="114"/>
      <c r="I33" s="114"/>
      <c r="J33" s="106"/>
    </row>
    <row r="34" spans="1:10" ht="30" customHeight="1" x14ac:dyDescent="0.35">
      <c r="A34" s="19">
        <v>29</v>
      </c>
      <c r="B34" s="20" t="s">
        <v>55</v>
      </c>
      <c r="C34" s="21" t="s">
        <v>56</v>
      </c>
      <c r="D34" s="22" t="s">
        <v>57</v>
      </c>
      <c r="E34" s="8" t="s">
        <v>17</v>
      </c>
      <c r="F34" s="8" t="s">
        <v>19</v>
      </c>
      <c r="G34" s="8"/>
      <c r="H34" s="23"/>
      <c r="I34" s="24"/>
      <c r="J34" s="8" t="s">
        <v>17</v>
      </c>
    </row>
    <row r="35" spans="1:10" ht="30" customHeight="1" x14ac:dyDescent="0.35">
      <c r="A35" s="19">
        <v>30</v>
      </c>
      <c r="B35" s="20" t="s">
        <v>55</v>
      </c>
      <c r="C35" s="21" t="s">
        <v>56</v>
      </c>
      <c r="D35" s="22" t="s">
        <v>58</v>
      </c>
      <c r="E35" s="8" t="s">
        <v>17</v>
      </c>
      <c r="F35" s="8" t="s">
        <v>15</v>
      </c>
      <c r="G35" s="8"/>
      <c r="H35" s="23"/>
      <c r="I35" s="24"/>
      <c r="J35" s="8" t="s">
        <v>17</v>
      </c>
    </row>
    <row r="36" spans="1:10" ht="30" customHeight="1" x14ac:dyDescent="0.35">
      <c r="A36" s="19">
        <v>31</v>
      </c>
      <c r="B36" s="20" t="s">
        <v>55</v>
      </c>
      <c r="C36" s="21" t="s">
        <v>56</v>
      </c>
      <c r="D36" s="22" t="s">
        <v>59</v>
      </c>
      <c r="E36" s="8" t="s">
        <v>17</v>
      </c>
      <c r="F36" s="8" t="s">
        <v>15</v>
      </c>
      <c r="G36" s="8"/>
      <c r="H36" s="23"/>
      <c r="I36" s="24"/>
      <c r="J36" s="8" t="s">
        <v>17</v>
      </c>
    </row>
    <row r="37" spans="1:10" ht="30" customHeight="1" x14ac:dyDescent="0.35">
      <c r="A37" s="19">
        <v>32</v>
      </c>
      <c r="B37" s="20" t="s">
        <v>55</v>
      </c>
      <c r="C37" s="21" t="s">
        <v>56</v>
      </c>
      <c r="D37" s="22" t="s">
        <v>60</v>
      </c>
      <c r="E37" s="8" t="s">
        <v>17</v>
      </c>
      <c r="F37" s="8" t="s">
        <v>15</v>
      </c>
      <c r="G37" s="8"/>
      <c r="H37" s="23"/>
      <c r="I37" s="24"/>
      <c r="J37" s="8" t="s">
        <v>17</v>
      </c>
    </row>
    <row r="38" spans="1:10" ht="30" customHeight="1" x14ac:dyDescent="0.35">
      <c r="A38" s="19">
        <v>33</v>
      </c>
      <c r="B38" s="20" t="s">
        <v>55</v>
      </c>
      <c r="C38" s="21" t="s">
        <v>56</v>
      </c>
      <c r="D38" s="22" t="s">
        <v>61</v>
      </c>
      <c r="E38" s="8" t="s">
        <v>17</v>
      </c>
      <c r="F38" s="8" t="s">
        <v>15</v>
      </c>
      <c r="G38" s="8"/>
      <c r="H38" s="23"/>
      <c r="I38" s="24"/>
      <c r="J38" s="8" t="s">
        <v>17</v>
      </c>
    </row>
    <row r="39" spans="1:10" ht="30" customHeight="1" x14ac:dyDescent="0.35">
      <c r="A39" s="19">
        <v>34</v>
      </c>
      <c r="B39" s="20" t="s">
        <v>55</v>
      </c>
      <c r="C39" s="21" t="s">
        <v>62</v>
      </c>
      <c r="D39" s="22" t="s">
        <v>63</v>
      </c>
      <c r="E39" s="8" t="s">
        <v>17</v>
      </c>
      <c r="F39" s="8" t="s">
        <v>19</v>
      </c>
      <c r="G39" s="8"/>
      <c r="H39" s="23"/>
      <c r="I39" s="24"/>
      <c r="J39" s="8" t="s">
        <v>17</v>
      </c>
    </row>
    <row r="40" spans="1:10" ht="30" customHeight="1" x14ac:dyDescent="0.35">
      <c r="A40" s="19">
        <v>35</v>
      </c>
      <c r="B40" s="20" t="s">
        <v>55</v>
      </c>
      <c r="C40" s="21" t="s">
        <v>62</v>
      </c>
      <c r="D40" s="22" t="s">
        <v>64</v>
      </c>
      <c r="E40" s="8" t="s">
        <v>17</v>
      </c>
      <c r="F40" s="8" t="s">
        <v>19</v>
      </c>
      <c r="G40" s="8"/>
      <c r="H40" s="23"/>
      <c r="I40" s="24"/>
      <c r="J40" s="8" t="s">
        <v>17</v>
      </c>
    </row>
    <row r="41" spans="1:10" ht="30" customHeight="1" x14ac:dyDescent="0.35">
      <c r="A41" s="19">
        <v>36</v>
      </c>
      <c r="B41" s="20" t="s">
        <v>55</v>
      </c>
      <c r="C41" s="21" t="s">
        <v>62</v>
      </c>
      <c r="D41" s="22" t="s">
        <v>65</v>
      </c>
      <c r="E41" s="8" t="s">
        <v>17</v>
      </c>
      <c r="F41" s="8" t="s">
        <v>19</v>
      </c>
      <c r="G41" s="8"/>
      <c r="H41" s="23"/>
      <c r="I41" s="24"/>
      <c r="J41" s="8" t="s">
        <v>17</v>
      </c>
    </row>
    <row r="42" spans="1:10" ht="30" customHeight="1" x14ac:dyDescent="0.35">
      <c r="A42" s="19">
        <v>37</v>
      </c>
      <c r="B42" s="20" t="s">
        <v>55</v>
      </c>
      <c r="C42" s="21" t="s">
        <v>62</v>
      </c>
      <c r="D42" s="22" t="s">
        <v>66</v>
      </c>
      <c r="E42" s="8" t="s">
        <v>17</v>
      </c>
      <c r="F42" s="8" t="s">
        <v>19</v>
      </c>
      <c r="G42" s="8"/>
      <c r="H42" s="23"/>
      <c r="I42" s="24"/>
      <c r="J42" s="8" t="s">
        <v>17</v>
      </c>
    </row>
    <row r="43" spans="1:10" ht="30" customHeight="1" x14ac:dyDescent="0.35">
      <c r="A43" s="19">
        <v>38</v>
      </c>
      <c r="B43" s="20" t="s">
        <v>55</v>
      </c>
      <c r="C43" s="21" t="s">
        <v>67</v>
      </c>
      <c r="D43" s="22" t="s">
        <v>68</v>
      </c>
      <c r="E43" s="8" t="s">
        <v>17</v>
      </c>
      <c r="F43" s="8" t="s">
        <v>19</v>
      </c>
      <c r="G43" s="8"/>
      <c r="H43" s="23"/>
      <c r="I43" s="24"/>
      <c r="J43" s="8" t="s">
        <v>17</v>
      </c>
    </row>
    <row r="44" spans="1:10" ht="30" customHeight="1" x14ac:dyDescent="0.35">
      <c r="A44" s="19">
        <v>39</v>
      </c>
      <c r="B44" s="20" t="s">
        <v>55</v>
      </c>
      <c r="C44" s="21" t="s">
        <v>67</v>
      </c>
      <c r="D44" s="22" t="s">
        <v>69</v>
      </c>
      <c r="E44" s="8" t="s">
        <v>17</v>
      </c>
      <c r="F44" s="8" t="s">
        <v>19</v>
      </c>
      <c r="G44" s="8"/>
      <c r="H44" s="23"/>
      <c r="I44" s="24"/>
      <c r="J44" s="8" t="s">
        <v>17</v>
      </c>
    </row>
    <row r="45" spans="1:10" ht="30" customHeight="1" x14ac:dyDescent="0.35">
      <c r="A45" s="19">
        <v>40</v>
      </c>
      <c r="B45" s="20" t="s">
        <v>55</v>
      </c>
      <c r="C45" s="21" t="s">
        <v>67</v>
      </c>
      <c r="D45" s="22" t="s">
        <v>70</v>
      </c>
      <c r="E45" s="8" t="s">
        <v>17</v>
      </c>
      <c r="F45" s="8" t="s">
        <v>19</v>
      </c>
      <c r="G45" s="8"/>
      <c r="H45" s="23"/>
      <c r="I45" s="24"/>
      <c r="J45" s="8" t="s">
        <v>17</v>
      </c>
    </row>
    <row r="46" spans="1:10" ht="30" customHeight="1" x14ac:dyDescent="0.35">
      <c r="A46" s="19">
        <v>41</v>
      </c>
      <c r="B46" s="20" t="s">
        <v>55</v>
      </c>
      <c r="C46" s="21" t="s">
        <v>52</v>
      </c>
      <c r="D46" s="22" t="s">
        <v>71</v>
      </c>
      <c r="E46" s="8" t="s">
        <v>17</v>
      </c>
      <c r="F46" s="8" t="s">
        <v>19</v>
      </c>
      <c r="G46" s="8"/>
      <c r="H46" s="23"/>
      <c r="I46" s="24"/>
      <c r="J46" s="8" t="s">
        <v>17</v>
      </c>
    </row>
    <row r="47" spans="1:10" ht="20.149999999999999" customHeight="1" x14ac:dyDescent="0.35">
      <c r="A47" s="116" t="s">
        <v>72</v>
      </c>
      <c r="B47" s="117"/>
      <c r="C47" s="117"/>
      <c r="D47" s="117"/>
      <c r="E47" s="117"/>
      <c r="F47" s="117"/>
      <c r="G47" s="117"/>
      <c r="H47" s="117"/>
      <c r="I47" s="117"/>
      <c r="J47" s="107"/>
    </row>
    <row r="48" spans="1:10" ht="30" customHeight="1" x14ac:dyDescent="0.35">
      <c r="A48" s="26">
        <v>47</v>
      </c>
      <c r="B48" s="27" t="s">
        <v>73</v>
      </c>
      <c r="C48" s="28" t="s">
        <v>74</v>
      </c>
      <c r="D48" s="29" t="s">
        <v>75</v>
      </c>
      <c r="E48" s="8" t="s">
        <v>17</v>
      </c>
      <c r="F48" s="8" t="s">
        <v>76</v>
      </c>
      <c r="G48" s="8"/>
      <c r="H48" s="30"/>
      <c r="I48" s="31"/>
      <c r="J48" s="8" t="s">
        <v>17</v>
      </c>
    </row>
    <row r="49" spans="1:10" ht="30" customHeight="1" x14ac:dyDescent="0.35">
      <c r="A49" s="26">
        <v>48</v>
      </c>
      <c r="B49" s="27" t="s">
        <v>73</v>
      </c>
      <c r="C49" s="28" t="s">
        <v>74</v>
      </c>
      <c r="D49" s="29" t="s">
        <v>77</v>
      </c>
      <c r="E49" s="8" t="s">
        <v>17</v>
      </c>
      <c r="F49" s="8" t="s">
        <v>76</v>
      </c>
      <c r="G49" s="8"/>
      <c r="H49" s="30"/>
      <c r="I49" s="31"/>
      <c r="J49" s="8" t="s">
        <v>17</v>
      </c>
    </row>
    <row r="50" spans="1:10" ht="30" customHeight="1" x14ac:dyDescent="0.35">
      <c r="A50" s="26">
        <v>49</v>
      </c>
      <c r="B50" s="27" t="s">
        <v>73</v>
      </c>
      <c r="C50" s="28" t="s">
        <v>74</v>
      </c>
      <c r="D50" s="29" t="s">
        <v>78</v>
      </c>
      <c r="E50" s="8" t="s">
        <v>17</v>
      </c>
      <c r="F50" s="8" t="s">
        <v>19</v>
      </c>
      <c r="G50" s="8"/>
      <c r="H50" s="30"/>
      <c r="I50" s="31"/>
      <c r="J50" s="8" t="s">
        <v>17</v>
      </c>
    </row>
    <row r="51" spans="1:10" ht="30" customHeight="1" x14ac:dyDescent="0.35">
      <c r="A51" s="26">
        <v>50</v>
      </c>
      <c r="B51" s="27" t="s">
        <v>73</v>
      </c>
      <c r="C51" s="28" t="s">
        <v>74</v>
      </c>
      <c r="D51" s="29" t="s">
        <v>79</v>
      </c>
      <c r="E51" s="8" t="s">
        <v>17</v>
      </c>
      <c r="F51" s="8" t="s">
        <v>19</v>
      </c>
      <c r="G51" s="8"/>
      <c r="H51" s="30"/>
      <c r="I51" s="31"/>
      <c r="J51" s="8" t="s">
        <v>17</v>
      </c>
    </row>
    <row r="52" spans="1:10" ht="30" customHeight="1" x14ac:dyDescent="0.35">
      <c r="A52" s="26">
        <v>51</v>
      </c>
      <c r="B52" s="27" t="s">
        <v>73</v>
      </c>
      <c r="C52" s="28" t="s">
        <v>80</v>
      </c>
      <c r="D52" s="29" t="s">
        <v>81</v>
      </c>
      <c r="E52" s="8" t="s">
        <v>17</v>
      </c>
      <c r="F52" s="8" t="s">
        <v>19</v>
      </c>
      <c r="G52" s="8"/>
      <c r="H52" s="30"/>
      <c r="I52" s="31"/>
      <c r="J52" s="8" t="s">
        <v>17</v>
      </c>
    </row>
    <row r="53" spans="1:10" ht="30" customHeight="1" x14ac:dyDescent="0.35">
      <c r="A53" s="26">
        <v>52</v>
      </c>
      <c r="B53" s="27" t="s">
        <v>73</v>
      </c>
      <c r="C53" s="28" t="s">
        <v>80</v>
      </c>
      <c r="D53" s="29" t="s">
        <v>82</v>
      </c>
      <c r="E53" s="8" t="s">
        <v>17</v>
      </c>
      <c r="F53" s="8" t="s">
        <v>19</v>
      </c>
      <c r="G53" s="8"/>
      <c r="H53" s="30"/>
      <c r="I53" s="31"/>
      <c r="J53" s="8" t="s">
        <v>17</v>
      </c>
    </row>
    <row r="54" spans="1:10" ht="30" customHeight="1" x14ac:dyDescent="0.35">
      <c r="A54" s="26">
        <v>53</v>
      </c>
      <c r="B54" s="27" t="s">
        <v>73</v>
      </c>
      <c r="C54" s="28" t="s">
        <v>80</v>
      </c>
      <c r="D54" s="29" t="s">
        <v>83</v>
      </c>
      <c r="E54" s="8" t="s">
        <v>17</v>
      </c>
      <c r="F54" s="8" t="s">
        <v>19</v>
      </c>
      <c r="G54" s="8"/>
      <c r="H54" s="30"/>
      <c r="I54" s="31"/>
      <c r="J54" s="8" t="s">
        <v>17</v>
      </c>
    </row>
    <row r="55" spans="1:10" ht="30" customHeight="1" x14ac:dyDescent="0.35">
      <c r="A55" s="26">
        <v>54</v>
      </c>
      <c r="B55" s="27" t="s">
        <v>73</v>
      </c>
      <c r="C55" s="28" t="s">
        <v>84</v>
      </c>
      <c r="D55" s="29" t="s">
        <v>85</v>
      </c>
      <c r="E55" s="8" t="s">
        <v>17</v>
      </c>
      <c r="F55" s="8" t="s">
        <v>19</v>
      </c>
      <c r="G55" s="8"/>
      <c r="H55" s="30"/>
      <c r="I55" s="31"/>
      <c r="J55" s="8" t="s">
        <v>17</v>
      </c>
    </row>
    <row r="56" spans="1:10" ht="30" customHeight="1" x14ac:dyDescent="0.35">
      <c r="A56" s="26">
        <v>55</v>
      </c>
      <c r="B56" s="27" t="s">
        <v>73</v>
      </c>
      <c r="C56" s="28" t="s">
        <v>84</v>
      </c>
      <c r="D56" s="29" t="s">
        <v>86</v>
      </c>
      <c r="E56" s="8" t="s">
        <v>17</v>
      </c>
      <c r="F56" s="8" t="s">
        <v>19</v>
      </c>
      <c r="G56" s="8"/>
      <c r="H56" s="30"/>
      <c r="I56" s="31"/>
      <c r="J56" s="8" t="s">
        <v>17</v>
      </c>
    </row>
    <row r="57" spans="1:10" ht="30" customHeight="1" x14ac:dyDescent="0.35">
      <c r="A57" s="26">
        <v>56</v>
      </c>
      <c r="B57" s="27" t="s">
        <v>73</v>
      </c>
      <c r="C57" s="28" t="s">
        <v>52</v>
      </c>
      <c r="D57" s="29" t="s">
        <v>87</v>
      </c>
      <c r="E57" s="8" t="s">
        <v>17</v>
      </c>
      <c r="F57" s="8" t="s">
        <v>19</v>
      </c>
      <c r="G57" s="8"/>
      <c r="H57" s="30"/>
      <c r="I57" s="31"/>
      <c r="J57" s="8" t="s">
        <v>17</v>
      </c>
    </row>
    <row r="58" spans="1:10" ht="20.149999999999999" customHeight="1" x14ac:dyDescent="0.35">
      <c r="A58" s="118" t="s">
        <v>88</v>
      </c>
      <c r="B58" s="119"/>
      <c r="C58" s="119"/>
      <c r="D58" s="119"/>
      <c r="E58" s="119"/>
      <c r="F58" s="119"/>
      <c r="G58" s="119"/>
      <c r="H58" s="119"/>
      <c r="I58" s="119"/>
      <c r="J58" s="108"/>
    </row>
    <row r="59" spans="1:10" ht="30" customHeight="1" x14ac:dyDescent="0.35">
      <c r="A59" s="33">
        <v>57</v>
      </c>
      <c r="B59" s="34" t="s">
        <v>89</v>
      </c>
      <c r="C59" s="35" t="s">
        <v>90</v>
      </c>
      <c r="D59" s="36" t="s">
        <v>91</v>
      </c>
      <c r="E59" s="8" t="s">
        <v>17</v>
      </c>
      <c r="F59" s="8" t="s">
        <v>15</v>
      </c>
      <c r="G59" s="8"/>
      <c r="H59" s="37"/>
      <c r="I59" s="38"/>
      <c r="J59" s="8" t="s">
        <v>17</v>
      </c>
    </row>
    <row r="60" spans="1:10" ht="30" customHeight="1" x14ac:dyDescent="0.35">
      <c r="A60" s="33">
        <v>58</v>
      </c>
      <c r="B60" s="34" t="s">
        <v>89</v>
      </c>
      <c r="C60" s="35" t="s">
        <v>90</v>
      </c>
      <c r="D60" s="36" t="s">
        <v>92</v>
      </c>
      <c r="E60" s="8" t="s">
        <v>17</v>
      </c>
      <c r="F60" s="8" t="s">
        <v>15</v>
      </c>
      <c r="G60" s="8"/>
      <c r="H60" s="37"/>
      <c r="I60" s="38"/>
      <c r="J60" s="8" t="s">
        <v>17</v>
      </c>
    </row>
    <row r="61" spans="1:10" ht="30" customHeight="1" x14ac:dyDescent="0.35">
      <c r="A61" s="33">
        <v>59</v>
      </c>
      <c r="B61" s="34" t="s">
        <v>89</v>
      </c>
      <c r="C61" s="35" t="s">
        <v>90</v>
      </c>
      <c r="D61" s="36" t="s">
        <v>93</v>
      </c>
      <c r="E61" s="8" t="s">
        <v>17</v>
      </c>
      <c r="F61" s="8" t="s">
        <v>19</v>
      </c>
      <c r="G61" s="8"/>
      <c r="H61" s="37"/>
      <c r="I61" s="38"/>
      <c r="J61" s="8" t="s">
        <v>17</v>
      </c>
    </row>
    <row r="62" spans="1:10" ht="30" customHeight="1" x14ac:dyDescent="0.35">
      <c r="A62" s="33">
        <v>60</v>
      </c>
      <c r="B62" s="34" t="s">
        <v>89</v>
      </c>
      <c r="C62" s="35" t="s">
        <v>90</v>
      </c>
      <c r="D62" s="36" t="s">
        <v>94</v>
      </c>
      <c r="E62" s="8" t="s">
        <v>17</v>
      </c>
      <c r="F62" s="8" t="s">
        <v>19</v>
      </c>
      <c r="G62" s="8"/>
      <c r="H62" s="37"/>
      <c r="I62" s="38"/>
      <c r="J62" s="8" t="s">
        <v>17</v>
      </c>
    </row>
    <row r="63" spans="1:10" ht="30" customHeight="1" x14ac:dyDescent="0.35">
      <c r="A63" s="33">
        <v>61</v>
      </c>
      <c r="B63" s="34" t="s">
        <v>89</v>
      </c>
      <c r="C63" s="35" t="s">
        <v>90</v>
      </c>
      <c r="D63" s="36" t="s">
        <v>95</v>
      </c>
      <c r="E63" s="8" t="s">
        <v>17</v>
      </c>
      <c r="F63" s="8" t="s">
        <v>19</v>
      </c>
      <c r="G63" s="8"/>
      <c r="H63" s="37"/>
      <c r="I63" s="38"/>
      <c r="J63" s="8" t="s">
        <v>17</v>
      </c>
    </row>
    <row r="64" spans="1:10" ht="30" customHeight="1" x14ac:dyDescent="0.35">
      <c r="A64" s="33">
        <v>62</v>
      </c>
      <c r="B64" s="34" t="s">
        <v>89</v>
      </c>
      <c r="C64" s="35" t="s">
        <v>90</v>
      </c>
      <c r="D64" s="36" t="s">
        <v>96</v>
      </c>
      <c r="E64" s="8" t="s">
        <v>17</v>
      </c>
      <c r="F64" s="8" t="s">
        <v>19</v>
      </c>
      <c r="G64" s="8"/>
      <c r="H64" s="37"/>
      <c r="I64" s="38"/>
      <c r="J64" s="8" t="s">
        <v>17</v>
      </c>
    </row>
    <row r="65" spans="1:10" ht="30" customHeight="1" x14ac:dyDescent="0.35">
      <c r="A65" s="33">
        <v>63</v>
      </c>
      <c r="B65" s="34" t="s">
        <v>89</v>
      </c>
      <c r="C65" s="35" t="s">
        <v>90</v>
      </c>
      <c r="D65" s="36" t="s">
        <v>97</v>
      </c>
      <c r="E65" s="8" t="s">
        <v>17</v>
      </c>
      <c r="F65" s="8" t="s">
        <v>19</v>
      </c>
      <c r="G65" s="8"/>
      <c r="H65" s="37"/>
      <c r="I65" s="38"/>
      <c r="J65" s="8" t="s">
        <v>17</v>
      </c>
    </row>
    <row r="66" spans="1:10" ht="30" customHeight="1" x14ac:dyDescent="0.35">
      <c r="A66" s="33">
        <v>64</v>
      </c>
      <c r="B66" s="34" t="s">
        <v>89</v>
      </c>
      <c r="C66" s="35" t="s">
        <v>98</v>
      </c>
      <c r="D66" s="36" t="s">
        <v>99</v>
      </c>
      <c r="E66" s="8" t="s">
        <v>17</v>
      </c>
      <c r="F66" s="8" t="s">
        <v>19</v>
      </c>
      <c r="G66" s="8"/>
      <c r="H66" s="37"/>
      <c r="I66" s="38"/>
      <c r="J66" s="8" t="s">
        <v>17</v>
      </c>
    </row>
    <row r="67" spans="1:10" ht="30" customHeight="1" x14ac:dyDescent="0.35">
      <c r="A67" s="33">
        <v>65</v>
      </c>
      <c r="B67" s="34" t="s">
        <v>89</v>
      </c>
      <c r="C67" s="35" t="s">
        <v>98</v>
      </c>
      <c r="D67" s="36" t="s">
        <v>100</v>
      </c>
      <c r="E67" s="8" t="s">
        <v>17</v>
      </c>
      <c r="F67" s="8" t="s">
        <v>19</v>
      </c>
      <c r="G67" s="8"/>
      <c r="H67" s="37"/>
      <c r="I67" s="38"/>
      <c r="J67" s="8" t="s">
        <v>17</v>
      </c>
    </row>
    <row r="68" spans="1:10" ht="30" customHeight="1" x14ac:dyDescent="0.35">
      <c r="A68" s="33">
        <v>66</v>
      </c>
      <c r="B68" s="34" t="s">
        <v>89</v>
      </c>
      <c r="C68" s="35" t="s">
        <v>98</v>
      </c>
      <c r="D68" s="36" t="s">
        <v>101</v>
      </c>
      <c r="E68" s="8" t="s">
        <v>17</v>
      </c>
      <c r="F68" s="8" t="s">
        <v>19</v>
      </c>
      <c r="G68" s="8"/>
      <c r="H68" s="37"/>
      <c r="I68" s="38"/>
      <c r="J68" s="8" t="s">
        <v>17</v>
      </c>
    </row>
    <row r="69" spans="1:10" ht="30" customHeight="1" x14ac:dyDescent="0.35">
      <c r="A69" s="33">
        <v>67</v>
      </c>
      <c r="B69" s="34" t="s">
        <v>89</v>
      </c>
      <c r="C69" s="35" t="s">
        <v>102</v>
      </c>
      <c r="D69" s="36" t="s">
        <v>103</v>
      </c>
      <c r="E69" s="8" t="s">
        <v>17</v>
      </c>
      <c r="F69" s="8" t="s">
        <v>19</v>
      </c>
      <c r="G69" s="8"/>
      <c r="H69" s="37"/>
      <c r="I69" s="38"/>
      <c r="J69" s="8" t="s">
        <v>17</v>
      </c>
    </row>
    <row r="70" spans="1:10" ht="30" customHeight="1" x14ac:dyDescent="0.35">
      <c r="A70" s="33">
        <v>68</v>
      </c>
      <c r="B70" s="34" t="s">
        <v>89</v>
      </c>
      <c r="C70" s="35" t="s">
        <v>102</v>
      </c>
      <c r="D70" s="36" t="s">
        <v>104</v>
      </c>
      <c r="E70" s="8" t="s">
        <v>17</v>
      </c>
      <c r="F70" s="8" t="s">
        <v>19</v>
      </c>
      <c r="G70" s="8"/>
      <c r="H70" s="37"/>
      <c r="I70" s="38"/>
      <c r="J70" s="8" t="s">
        <v>17</v>
      </c>
    </row>
    <row r="71" spans="1:10" ht="30" customHeight="1" x14ac:dyDescent="0.35">
      <c r="A71" s="33">
        <v>69</v>
      </c>
      <c r="B71" s="34" t="s">
        <v>89</v>
      </c>
      <c r="C71" s="35" t="s">
        <v>102</v>
      </c>
      <c r="D71" s="36" t="s">
        <v>105</v>
      </c>
      <c r="E71" s="8" t="s">
        <v>17</v>
      </c>
      <c r="F71" s="8" t="s">
        <v>19</v>
      </c>
      <c r="G71" s="8"/>
      <c r="H71" s="37"/>
      <c r="I71" s="38"/>
      <c r="J71" s="8" t="s">
        <v>17</v>
      </c>
    </row>
    <row r="72" spans="1:10" ht="30" customHeight="1" x14ac:dyDescent="0.35">
      <c r="A72" s="33">
        <v>70</v>
      </c>
      <c r="B72" s="34" t="s">
        <v>89</v>
      </c>
      <c r="C72" s="35" t="s">
        <v>106</v>
      </c>
      <c r="D72" s="36" t="s">
        <v>107</v>
      </c>
      <c r="E72" s="8" t="s">
        <v>17</v>
      </c>
      <c r="F72" s="8" t="s">
        <v>19</v>
      </c>
      <c r="G72" s="8"/>
      <c r="H72" s="37"/>
      <c r="I72" s="38"/>
      <c r="J72" s="8" t="s">
        <v>17</v>
      </c>
    </row>
    <row r="73" spans="1:10" ht="30" customHeight="1" x14ac:dyDescent="0.35">
      <c r="A73" s="33">
        <v>71</v>
      </c>
      <c r="B73" s="34" t="s">
        <v>89</v>
      </c>
      <c r="C73" s="35" t="s">
        <v>106</v>
      </c>
      <c r="D73" s="36" t="s">
        <v>108</v>
      </c>
      <c r="E73" s="8" t="s">
        <v>17</v>
      </c>
      <c r="F73" s="8" t="s">
        <v>19</v>
      </c>
      <c r="G73" s="8"/>
      <c r="H73" s="37"/>
      <c r="I73" s="38"/>
      <c r="J73" s="8" t="s">
        <v>17</v>
      </c>
    </row>
    <row r="74" spans="1:10" ht="30" customHeight="1" x14ac:dyDescent="0.35">
      <c r="A74" s="33">
        <v>72</v>
      </c>
      <c r="B74" s="34" t="s">
        <v>89</v>
      </c>
      <c r="C74" s="35" t="s">
        <v>106</v>
      </c>
      <c r="D74" s="36" t="s">
        <v>109</v>
      </c>
      <c r="E74" s="8" t="s">
        <v>17</v>
      </c>
      <c r="F74" s="8" t="s">
        <v>19</v>
      </c>
      <c r="G74" s="8"/>
      <c r="H74" s="37"/>
      <c r="I74" s="38"/>
      <c r="J74" s="8" t="s">
        <v>17</v>
      </c>
    </row>
    <row r="75" spans="1:10" ht="20.149999999999999" customHeight="1" x14ac:dyDescent="0.35">
      <c r="A75" s="116" t="s">
        <v>110</v>
      </c>
      <c r="B75" s="117"/>
      <c r="C75" s="117"/>
      <c r="D75" s="117"/>
      <c r="E75" s="117"/>
      <c r="F75" s="117"/>
      <c r="G75" s="117"/>
      <c r="H75" s="117"/>
      <c r="I75" s="117"/>
      <c r="J75" s="107"/>
    </row>
    <row r="76" spans="1:10" ht="30" customHeight="1" x14ac:dyDescent="0.35">
      <c r="A76" s="26">
        <v>73</v>
      </c>
      <c r="B76" s="27" t="s">
        <v>111</v>
      </c>
      <c r="C76" s="28" t="s">
        <v>112</v>
      </c>
      <c r="D76" s="29" t="s">
        <v>113</v>
      </c>
      <c r="E76" s="8" t="s">
        <v>17</v>
      </c>
      <c r="F76" s="8" t="s">
        <v>19</v>
      </c>
      <c r="G76" s="8"/>
      <c r="H76" s="30"/>
      <c r="I76" s="31"/>
      <c r="J76" s="8" t="s">
        <v>17</v>
      </c>
    </row>
    <row r="77" spans="1:10" ht="30" customHeight="1" x14ac:dyDescent="0.35">
      <c r="A77" s="26">
        <v>74</v>
      </c>
      <c r="B77" s="27" t="s">
        <v>111</v>
      </c>
      <c r="C77" s="28" t="s">
        <v>112</v>
      </c>
      <c r="D77" s="29" t="s">
        <v>114</v>
      </c>
      <c r="E77" s="8" t="s">
        <v>17</v>
      </c>
      <c r="F77" s="8" t="s">
        <v>19</v>
      </c>
      <c r="G77" s="8"/>
      <c r="H77" s="30"/>
      <c r="I77" s="31"/>
      <c r="J77" s="8" t="s">
        <v>17</v>
      </c>
    </row>
    <row r="78" spans="1:10" ht="30" customHeight="1" x14ac:dyDescent="0.35">
      <c r="A78" s="26">
        <v>75</v>
      </c>
      <c r="B78" s="27" t="s">
        <v>111</v>
      </c>
      <c r="C78" s="28" t="s">
        <v>112</v>
      </c>
      <c r="D78" s="29" t="s">
        <v>115</v>
      </c>
      <c r="E78" s="8" t="s">
        <v>17</v>
      </c>
      <c r="F78" s="8" t="s">
        <v>19</v>
      </c>
      <c r="G78" s="8"/>
      <c r="H78" s="30"/>
      <c r="I78" s="31"/>
      <c r="J78" s="8" t="s">
        <v>17</v>
      </c>
    </row>
    <row r="79" spans="1:10" ht="30" customHeight="1" x14ac:dyDescent="0.35">
      <c r="A79" s="26">
        <v>76</v>
      </c>
      <c r="B79" s="27" t="s">
        <v>111</v>
      </c>
      <c r="C79" s="28" t="s">
        <v>112</v>
      </c>
      <c r="D79" s="29" t="s">
        <v>116</v>
      </c>
      <c r="E79" s="8" t="s">
        <v>17</v>
      </c>
      <c r="F79" s="8" t="s">
        <v>19</v>
      </c>
      <c r="G79" s="8"/>
      <c r="H79" s="30"/>
      <c r="I79" s="31"/>
      <c r="J79" s="8" t="s">
        <v>17</v>
      </c>
    </row>
    <row r="80" spans="1:10" ht="30" customHeight="1" x14ac:dyDescent="0.35">
      <c r="A80" s="26">
        <v>77</v>
      </c>
      <c r="B80" s="27" t="s">
        <v>111</v>
      </c>
      <c r="C80" s="28" t="s">
        <v>117</v>
      </c>
      <c r="D80" s="29" t="s">
        <v>118</v>
      </c>
      <c r="E80" s="8" t="s">
        <v>17</v>
      </c>
      <c r="F80" s="8" t="s">
        <v>15</v>
      </c>
      <c r="G80" s="8"/>
      <c r="H80" s="30"/>
      <c r="I80" s="31"/>
      <c r="J80" s="8" t="s">
        <v>17</v>
      </c>
    </row>
    <row r="81" spans="1:10" ht="30" customHeight="1" x14ac:dyDescent="0.35">
      <c r="A81" s="26">
        <v>78</v>
      </c>
      <c r="B81" s="27" t="s">
        <v>111</v>
      </c>
      <c r="C81" s="28" t="s">
        <v>117</v>
      </c>
      <c r="D81" s="29" t="s">
        <v>119</v>
      </c>
      <c r="E81" s="8" t="s">
        <v>17</v>
      </c>
      <c r="F81" s="8" t="s">
        <v>19</v>
      </c>
      <c r="G81" s="8"/>
      <c r="H81" s="30"/>
      <c r="I81" s="31"/>
      <c r="J81" s="8" t="s">
        <v>17</v>
      </c>
    </row>
    <row r="82" spans="1:10" ht="30" customHeight="1" x14ac:dyDescent="0.35">
      <c r="A82" s="26">
        <v>79</v>
      </c>
      <c r="B82" s="27" t="s">
        <v>111</v>
      </c>
      <c r="C82" s="28" t="s">
        <v>117</v>
      </c>
      <c r="D82" s="29" t="s">
        <v>120</v>
      </c>
      <c r="E82" s="8" t="s">
        <v>17</v>
      </c>
      <c r="F82" s="8" t="s">
        <v>19</v>
      </c>
      <c r="G82" s="8"/>
      <c r="H82" s="30"/>
      <c r="I82" s="31"/>
      <c r="J82" s="8" t="s">
        <v>17</v>
      </c>
    </row>
    <row r="83" spans="1:10" ht="30" customHeight="1" x14ac:dyDescent="0.35">
      <c r="A83" s="26">
        <v>80</v>
      </c>
      <c r="B83" s="27" t="s">
        <v>111</v>
      </c>
      <c r="C83" s="28" t="s">
        <v>121</v>
      </c>
      <c r="D83" s="29" t="s">
        <v>122</v>
      </c>
      <c r="E83" s="8" t="s">
        <v>17</v>
      </c>
      <c r="F83" s="8" t="s">
        <v>19</v>
      </c>
      <c r="G83" s="8"/>
      <c r="H83" s="30"/>
      <c r="I83" s="31"/>
      <c r="J83" s="8" t="s">
        <v>17</v>
      </c>
    </row>
    <row r="84" spans="1:10" ht="20.149999999999999" customHeight="1" x14ac:dyDescent="0.35">
      <c r="A84" s="129" t="s">
        <v>123</v>
      </c>
      <c r="B84" s="130"/>
      <c r="C84" s="130"/>
      <c r="D84" s="130"/>
      <c r="E84" s="130"/>
      <c r="F84" s="130"/>
      <c r="G84" s="130"/>
      <c r="H84" s="130"/>
      <c r="I84" s="130"/>
      <c r="J84" s="109"/>
    </row>
    <row r="85" spans="1:10" ht="30" customHeight="1" x14ac:dyDescent="0.35">
      <c r="A85" s="40">
        <v>81</v>
      </c>
      <c r="B85" s="41" t="s">
        <v>124</v>
      </c>
      <c r="C85" s="42" t="s">
        <v>125</v>
      </c>
      <c r="D85" s="43" t="s">
        <v>126</v>
      </c>
      <c r="E85" s="8" t="s">
        <v>17</v>
      </c>
      <c r="F85" s="8" t="s">
        <v>19</v>
      </c>
      <c r="G85" s="8"/>
      <c r="H85" s="44"/>
      <c r="I85" s="45"/>
      <c r="J85" s="8" t="s">
        <v>17</v>
      </c>
    </row>
    <row r="86" spans="1:10" ht="30" customHeight="1" x14ac:dyDescent="0.35">
      <c r="A86" s="40">
        <v>82</v>
      </c>
      <c r="B86" s="41" t="s">
        <v>124</v>
      </c>
      <c r="C86" s="42" t="s">
        <v>125</v>
      </c>
      <c r="D86" s="43" t="s">
        <v>127</v>
      </c>
      <c r="E86" s="8" t="s">
        <v>17</v>
      </c>
      <c r="F86" s="8" t="s">
        <v>19</v>
      </c>
      <c r="G86" s="8"/>
      <c r="H86" s="44"/>
      <c r="I86" s="45"/>
      <c r="J86" s="8" t="s">
        <v>17</v>
      </c>
    </row>
    <row r="87" spans="1:10" ht="30" customHeight="1" x14ac:dyDescent="0.35">
      <c r="A87" s="40">
        <v>83</v>
      </c>
      <c r="B87" s="41" t="s">
        <v>124</v>
      </c>
      <c r="C87" s="42" t="s">
        <v>128</v>
      </c>
      <c r="D87" s="43" t="s">
        <v>129</v>
      </c>
      <c r="E87" s="8" t="s">
        <v>17</v>
      </c>
      <c r="F87" s="8" t="s">
        <v>19</v>
      </c>
      <c r="G87" s="8"/>
      <c r="H87" s="44"/>
      <c r="I87" s="45"/>
      <c r="J87" s="8" t="s">
        <v>17</v>
      </c>
    </row>
    <row r="88" spans="1:10" ht="30" customHeight="1" x14ac:dyDescent="0.35">
      <c r="A88" s="40">
        <v>84</v>
      </c>
      <c r="B88" s="41" t="s">
        <v>124</v>
      </c>
      <c r="C88" s="42" t="s">
        <v>128</v>
      </c>
      <c r="D88" s="43" t="s">
        <v>130</v>
      </c>
      <c r="E88" s="8" t="s">
        <v>17</v>
      </c>
      <c r="F88" s="8" t="s">
        <v>15</v>
      </c>
      <c r="G88" s="8"/>
      <c r="H88" s="44"/>
      <c r="I88" s="45"/>
      <c r="J88" s="8" t="s">
        <v>17</v>
      </c>
    </row>
    <row r="89" spans="1:10" ht="30" customHeight="1" x14ac:dyDescent="0.35">
      <c r="A89" s="40">
        <v>85</v>
      </c>
      <c r="B89" s="41" t="s">
        <v>124</v>
      </c>
      <c r="C89" s="42" t="s">
        <v>128</v>
      </c>
      <c r="D89" s="43" t="s">
        <v>131</v>
      </c>
      <c r="E89" s="8" t="s">
        <v>17</v>
      </c>
      <c r="F89" s="8" t="s">
        <v>15</v>
      </c>
      <c r="G89" s="8"/>
      <c r="H89" s="44"/>
      <c r="I89" s="45"/>
      <c r="J89" s="8" t="s">
        <v>17</v>
      </c>
    </row>
    <row r="90" spans="1:10" ht="30" customHeight="1" x14ac:dyDescent="0.35">
      <c r="A90" s="40">
        <v>86</v>
      </c>
      <c r="B90" s="41" t="s">
        <v>124</v>
      </c>
      <c r="C90" s="42" t="s">
        <v>132</v>
      </c>
      <c r="D90" s="43" t="s">
        <v>133</v>
      </c>
      <c r="E90" s="8" t="s">
        <v>17</v>
      </c>
      <c r="F90" s="8" t="s">
        <v>15</v>
      </c>
      <c r="G90" s="8"/>
      <c r="H90" s="44"/>
      <c r="I90" s="45"/>
      <c r="J90" s="8" t="s">
        <v>17</v>
      </c>
    </row>
    <row r="91" spans="1:10" ht="30" customHeight="1" x14ac:dyDescent="0.35">
      <c r="A91" s="40">
        <v>87</v>
      </c>
      <c r="B91" s="41" t="s">
        <v>124</v>
      </c>
      <c r="C91" s="42" t="s">
        <v>132</v>
      </c>
      <c r="D91" s="43" t="s">
        <v>134</v>
      </c>
      <c r="E91" s="8" t="s">
        <v>17</v>
      </c>
      <c r="F91" s="8" t="s">
        <v>15</v>
      </c>
      <c r="G91" s="8"/>
      <c r="H91" s="44"/>
      <c r="I91" s="45"/>
      <c r="J91" s="8" t="s">
        <v>17</v>
      </c>
    </row>
    <row r="92" spans="1:10" ht="30" customHeight="1" x14ac:dyDescent="0.35">
      <c r="A92" s="40">
        <v>88</v>
      </c>
      <c r="B92" s="41" t="s">
        <v>124</v>
      </c>
      <c r="C92" s="42" t="s">
        <v>121</v>
      </c>
      <c r="D92" s="43" t="s">
        <v>135</v>
      </c>
      <c r="E92" s="8" t="s">
        <v>17</v>
      </c>
      <c r="F92" s="8" t="s">
        <v>15</v>
      </c>
      <c r="G92" s="8"/>
      <c r="H92" s="44"/>
      <c r="I92" s="45"/>
      <c r="J92" s="8" t="s">
        <v>17</v>
      </c>
    </row>
    <row r="93" spans="1:10" ht="20.149999999999999" customHeight="1" x14ac:dyDescent="0.35">
      <c r="A93" s="131" t="s">
        <v>136</v>
      </c>
      <c r="B93" s="132"/>
      <c r="C93" s="132"/>
      <c r="D93" s="132"/>
      <c r="E93" s="132"/>
      <c r="F93" s="132"/>
      <c r="G93" s="132"/>
      <c r="H93" s="132"/>
      <c r="I93" s="132"/>
      <c r="J93" s="110"/>
    </row>
    <row r="94" spans="1:10" ht="30" customHeight="1" x14ac:dyDescent="0.35">
      <c r="A94" s="47">
        <v>89</v>
      </c>
      <c r="B94" s="48" t="s">
        <v>137</v>
      </c>
      <c r="C94" s="49" t="s">
        <v>125</v>
      </c>
      <c r="D94" s="50" t="s">
        <v>138</v>
      </c>
      <c r="E94" s="8" t="s">
        <v>17</v>
      </c>
      <c r="F94" s="8" t="s">
        <v>15</v>
      </c>
      <c r="G94" s="8"/>
      <c r="H94" s="51"/>
      <c r="I94" s="52"/>
      <c r="J94" s="8" t="s">
        <v>17</v>
      </c>
    </row>
    <row r="95" spans="1:10" ht="30" customHeight="1" x14ac:dyDescent="0.35">
      <c r="A95" s="47">
        <v>90</v>
      </c>
      <c r="B95" s="48" t="s">
        <v>137</v>
      </c>
      <c r="C95" s="49" t="s">
        <v>125</v>
      </c>
      <c r="D95" s="50" t="s">
        <v>139</v>
      </c>
      <c r="E95" s="8" t="s">
        <v>17</v>
      </c>
      <c r="F95" s="8" t="s">
        <v>15</v>
      </c>
      <c r="G95" s="8"/>
      <c r="H95" s="51"/>
      <c r="I95" s="52"/>
      <c r="J95" s="8" t="s">
        <v>17</v>
      </c>
    </row>
    <row r="96" spans="1:10" ht="30" customHeight="1" x14ac:dyDescent="0.35">
      <c r="A96" s="47">
        <v>91</v>
      </c>
      <c r="B96" s="48" t="s">
        <v>137</v>
      </c>
      <c r="C96" s="49" t="s">
        <v>140</v>
      </c>
      <c r="D96" s="50" t="s">
        <v>141</v>
      </c>
      <c r="E96" s="8" t="s">
        <v>17</v>
      </c>
      <c r="F96" s="8" t="s">
        <v>15</v>
      </c>
      <c r="G96" s="8"/>
      <c r="H96" s="51"/>
      <c r="I96" s="52"/>
      <c r="J96" s="8" t="s">
        <v>17</v>
      </c>
    </row>
    <row r="97" spans="1:10" ht="30" customHeight="1" x14ac:dyDescent="0.35">
      <c r="A97" s="47">
        <v>92</v>
      </c>
      <c r="B97" s="48" t="s">
        <v>137</v>
      </c>
      <c r="C97" s="49" t="s">
        <v>140</v>
      </c>
      <c r="D97" s="50" t="s">
        <v>142</v>
      </c>
      <c r="E97" s="8" t="s">
        <v>17</v>
      </c>
      <c r="F97" s="8" t="s">
        <v>15</v>
      </c>
      <c r="G97" s="8"/>
      <c r="H97" s="51"/>
      <c r="I97" s="52"/>
      <c r="J97" s="8" t="s">
        <v>17</v>
      </c>
    </row>
    <row r="98" spans="1:10" ht="30" customHeight="1" x14ac:dyDescent="0.35">
      <c r="A98" s="47">
        <v>93</v>
      </c>
      <c r="B98" s="48" t="s">
        <v>137</v>
      </c>
      <c r="C98" s="49" t="s">
        <v>140</v>
      </c>
      <c r="D98" s="50" t="s">
        <v>143</v>
      </c>
      <c r="E98" s="8" t="s">
        <v>17</v>
      </c>
      <c r="F98" s="8" t="s">
        <v>15</v>
      </c>
      <c r="G98" s="8"/>
      <c r="H98" s="51"/>
      <c r="I98" s="52"/>
      <c r="J98" s="8" t="s">
        <v>17</v>
      </c>
    </row>
    <row r="99" spans="1:10" ht="30" customHeight="1" x14ac:dyDescent="0.35">
      <c r="A99" s="47">
        <v>94</v>
      </c>
      <c r="B99" s="48" t="s">
        <v>137</v>
      </c>
      <c r="C99" s="49" t="s">
        <v>144</v>
      </c>
      <c r="D99" s="50" t="s">
        <v>145</v>
      </c>
      <c r="E99" s="8" t="s">
        <v>17</v>
      </c>
      <c r="F99" s="8" t="s">
        <v>15</v>
      </c>
      <c r="G99" s="8"/>
      <c r="H99" s="51"/>
      <c r="I99" s="52"/>
      <c r="J99" s="8" t="s">
        <v>17</v>
      </c>
    </row>
    <row r="100" spans="1:10" ht="30" customHeight="1" x14ac:dyDescent="0.35">
      <c r="A100" s="47">
        <v>95</v>
      </c>
      <c r="B100" s="48" t="s">
        <v>137</v>
      </c>
      <c r="C100" s="49" t="s">
        <v>144</v>
      </c>
      <c r="D100" s="50" t="s">
        <v>146</v>
      </c>
      <c r="E100" s="8" t="s">
        <v>17</v>
      </c>
      <c r="F100" s="8" t="s">
        <v>15</v>
      </c>
      <c r="G100" s="8"/>
      <c r="H100" s="51"/>
      <c r="I100" s="52"/>
      <c r="J100" s="8" t="s">
        <v>17</v>
      </c>
    </row>
    <row r="101" spans="1:10" ht="30" customHeight="1" x14ac:dyDescent="0.35">
      <c r="A101" s="47">
        <v>96</v>
      </c>
      <c r="B101" s="48" t="s">
        <v>137</v>
      </c>
      <c r="C101" s="49" t="s">
        <v>121</v>
      </c>
      <c r="D101" s="50" t="s">
        <v>147</v>
      </c>
      <c r="E101" s="8" t="s">
        <v>17</v>
      </c>
      <c r="F101" s="8" t="s">
        <v>15</v>
      </c>
      <c r="G101" s="8"/>
      <c r="H101" s="51"/>
      <c r="I101" s="52"/>
      <c r="J101" s="8" t="s">
        <v>17</v>
      </c>
    </row>
    <row r="102" spans="1:10" ht="30" customHeight="1" x14ac:dyDescent="0.35">
      <c r="A102" s="47">
        <v>97</v>
      </c>
      <c r="B102" s="48" t="s">
        <v>137</v>
      </c>
      <c r="C102" s="49" t="s">
        <v>121</v>
      </c>
      <c r="D102" s="50" t="s">
        <v>148</v>
      </c>
      <c r="E102" s="8" t="s">
        <v>17</v>
      </c>
      <c r="F102" s="8" t="s">
        <v>15</v>
      </c>
      <c r="G102" s="8"/>
      <c r="H102" s="51"/>
      <c r="I102" s="52"/>
      <c r="J102" s="8" t="s">
        <v>17</v>
      </c>
    </row>
    <row r="103" spans="1:10" ht="20.149999999999999" customHeight="1" x14ac:dyDescent="0.35">
      <c r="A103" s="125" t="s">
        <v>149</v>
      </c>
      <c r="B103" s="126"/>
      <c r="C103" s="126"/>
      <c r="D103" s="126"/>
      <c r="E103" s="126"/>
      <c r="F103" s="126"/>
      <c r="G103" s="126"/>
      <c r="H103" s="126"/>
      <c r="I103" s="126"/>
      <c r="J103" s="111"/>
    </row>
    <row r="104" spans="1:10" ht="30" customHeight="1" x14ac:dyDescent="0.35">
      <c r="A104" s="54">
        <v>98</v>
      </c>
      <c r="B104" s="55" t="s">
        <v>150</v>
      </c>
      <c r="C104" s="56" t="s">
        <v>151</v>
      </c>
      <c r="D104" s="57" t="s">
        <v>152</v>
      </c>
      <c r="E104" s="8" t="s">
        <v>17</v>
      </c>
      <c r="F104" s="8" t="s">
        <v>15</v>
      </c>
      <c r="G104" s="8"/>
      <c r="H104" s="58"/>
      <c r="I104" s="59"/>
      <c r="J104" s="8" t="s">
        <v>17</v>
      </c>
    </row>
    <row r="105" spans="1:10" ht="30" customHeight="1" x14ac:dyDescent="0.35">
      <c r="A105" s="54">
        <v>99</v>
      </c>
      <c r="B105" s="55" t="s">
        <v>150</v>
      </c>
      <c r="C105" s="56" t="s">
        <v>151</v>
      </c>
      <c r="D105" s="57" t="s">
        <v>153</v>
      </c>
      <c r="E105" s="8" t="s">
        <v>17</v>
      </c>
      <c r="F105" s="8" t="s">
        <v>15</v>
      </c>
      <c r="G105" s="8"/>
      <c r="H105" s="58"/>
      <c r="I105" s="59"/>
      <c r="J105" s="8" t="s">
        <v>17</v>
      </c>
    </row>
    <row r="106" spans="1:10" ht="30" customHeight="1" x14ac:dyDescent="0.35">
      <c r="A106" s="54">
        <v>100</v>
      </c>
      <c r="B106" s="55" t="s">
        <v>150</v>
      </c>
      <c r="C106" s="56" t="s">
        <v>151</v>
      </c>
      <c r="D106" s="57" t="s">
        <v>154</v>
      </c>
      <c r="E106" s="8" t="s">
        <v>17</v>
      </c>
      <c r="F106" s="8" t="s">
        <v>15</v>
      </c>
      <c r="G106" s="8"/>
      <c r="H106" s="58"/>
      <c r="I106" s="59"/>
      <c r="J106" s="8" t="s">
        <v>17</v>
      </c>
    </row>
    <row r="107" spans="1:10" ht="30" customHeight="1" x14ac:dyDescent="0.35">
      <c r="A107" s="54">
        <v>101</v>
      </c>
      <c r="B107" s="55" t="s">
        <v>150</v>
      </c>
      <c r="C107" s="56" t="s">
        <v>151</v>
      </c>
      <c r="D107" s="57" t="s">
        <v>155</v>
      </c>
      <c r="E107" s="8" t="s">
        <v>17</v>
      </c>
      <c r="F107" s="8" t="s">
        <v>15</v>
      </c>
      <c r="G107" s="8"/>
      <c r="H107" s="58"/>
      <c r="I107" s="59"/>
      <c r="J107" s="8" t="s">
        <v>17</v>
      </c>
    </row>
    <row r="108" spans="1:10" ht="30" customHeight="1" x14ac:dyDescent="0.35">
      <c r="A108" s="54">
        <v>102</v>
      </c>
      <c r="B108" s="55" t="s">
        <v>150</v>
      </c>
      <c r="C108" s="56" t="s">
        <v>156</v>
      </c>
      <c r="D108" s="57" t="s">
        <v>157</v>
      </c>
      <c r="E108" s="8" t="s">
        <v>17</v>
      </c>
      <c r="F108" s="8" t="s">
        <v>15</v>
      </c>
      <c r="G108" s="8"/>
      <c r="H108" s="58"/>
      <c r="I108" s="59"/>
      <c r="J108" s="8" t="s">
        <v>17</v>
      </c>
    </row>
    <row r="109" spans="1:10" ht="30" customHeight="1" x14ac:dyDescent="0.35">
      <c r="A109" s="54">
        <v>103</v>
      </c>
      <c r="B109" s="55" t="s">
        <v>150</v>
      </c>
      <c r="C109" s="56" t="s">
        <v>156</v>
      </c>
      <c r="D109" s="57" t="s">
        <v>158</v>
      </c>
      <c r="E109" s="8" t="s">
        <v>17</v>
      </c>
      <c r="F109" s="8" t="s">
        <v>15</v>
      </c>
      <c r="G109" s="8"/>
      <c r="H109" s="58"/>
      <c r="I109" s="59"/>
      <c r="J109" s="8" t="s">
        <v>17</v>
      </c>
    </row>
    <row r="110" spans="1:10" ht="30" customHeight="1" x14ac:dyDescent="0.35">
      <c r="A110" s="54">
        <v>104</v>
      </c>
      <c r="B110" s="55" t="s">
        <v>150</v>
      </c>
      <c r="C110" s="56" t="s">
        <v>159</v>
      </c>
      <c r="D110" s="57" t="s">
        <v>160</v>
      </c>
      <c r="E110" s="8" t="s">
        <v>17</v>
      </c>
      <c r="F110" s="8" t="s">
        <v>15</v>
      </c>
      <c r="G110" s="8"/>
      <c r="H110" s="58"/>
      <c r="I110" s="59"/>
      <c r="J110" s="8" t="s">
        <v>17</v>
      </c>
    </row>
    <row r="111" spans="1:10" ht="30" customHeight="1" x14ac:dyDescent="0.35">
      <c r="A111" s="54">
        <v>105</v>
      </c>
      <c r="B111" s="55" t="s">
        <v>150</v>
      </c>
      <c r="C111" s="56" t="s">
        <v>159</v>
      </c>
      <c r="D111" s="57" t="s">
        <v>161</v>
      </c>
      <c r="E111" s="8" t="s">
        <v>17</v>
      </c>
      <c r="F111" s="8" t="s">
        <v>15</v>
      </c>
      <c r="G111" s="8"/>
      <c r="H111" s="58"/>
      <c r="I111" s="59"/>
      <c r="J111" s="8" t="s">
        <v>17</v>
      </c>
    </row>
    <row r="112" spans="1:10" ht="30" customHeight="1" x14ac:dyDescent="0.35">
      <c r="A112" s="54">
        <v>106</v>
      </c>
      <c r="B112" s="55" t="s">
        <v>150</v>
      </c>
      <c r="C112" s="56" t="s">
        <v>159</v>
      </c>
      <c r="D112" s="57" t="s">
        <v>162</v>
      </c>
      <c r="E112" s="8" t="s">
        <v>17</v>
      </c>
      <c r="F112" s="8" t="s">
        <v>15</v>
      </c>
      <c r="G112" s="8"/>
      <c r="H112" s="58"/>
      <c r="I112" s="59"/>
      <c r="J112" s="8" t="s">
        <v>17</v>
      </c>
    </row>
    <row r="113" spans="1:10" ht="20.149999999999999" customHeight="1" x14ac:dyDescent="0.35">
      <c r="A113" s="122" t="s">
        <v>163</v>
      </c>
      <c r="B113" s="123"/>
      <c r="C113" s="123"/>
      <c r="D113" s="123"/>
      <c r="E113" s="123"/>
      <c r="F113" s="123"/>
      <c r="G113" s="123"/>
      <c r="H113" s="123"/>
      <c r="I113" s="123"/>
      <c r="J113" s="104"/>
    </row>
    <row r="114" spans="1:10" ht="30" customHeight="1" x14ac:dyDescent="0.35">
      <c r="A114" s="4">
        <v>107</v>
      </c>
      <c r="B114" s="5" t="s">
        <v>164</v>
      </c>
      <c r="C114" s="6" t="s">
        <v>165</v>
      </c>
      <c r="D114" s="7" t="s">
        <v>166</v>
      </c>
      <c r="E114" s="8" t="s">
        <v>17</v>
      </c>
      <c r="F114" s="8" t="s">
        <v>15</v>
      </c>
      <c r="G114" s="8"/>
      <c r="H114" s="9"/>
      <c r="I114" s="10"/>
      <c r="J114" s="8" t="s">
        <v>17</v>
      </c>
    </row>
    <row r="115" spans="1:10" ht="30" customHeight="1" x14ac:dyDescent="0.35">
      <c r="A115" s="4">
        <v>108</v>
      </c>
      <c r="B115" s="5" t="s">
        <v>164</v>
      </c>
      <c r="C115" s="6" t="s">
        <v>165</v>
      </c>
      <c r="D115" s="7" t="s">
        <v>167</v>
      </c>
      <c r="E115" s="8" t="s">
        <v>17</v>
      </c>
      <c r="F115" s="8" t="s">
        <v>15</v>
      </c>
      <c r="G115" s="8"/>
      <c r="H115" s="9"/>
      <c r="I115" s="10"/>
      <c r="J115" s="8" t="s">
        <v>17</v>
      </c>
    </row>
    <row r="116" spans="1:10" ht="30" customHeight="1" x14ac:dyDescent="0.35">
      <c r="A116" s="4">
        <v>109</v>
      </c>
      <c r="B116" s="5" t="s">
        <v>164</v>
      </c>
      <c r="C116" s="6" t="s">
        <v>165</v>
      </c>
      <c r="D116" s="7" t="s">
        <v>168</v>
      </c>
      <c r="E116" s="8" t="s">
        <v>17</v>
      </c>
      <c r="F116" s="8" t="s">
        <v>15</v>
      </c>
      <c r="G116" s="8"/>
      <c r="H116" s="9"/>
      <c r="I116" s="10"/>
      <c r="J116" s="8" t="s">
        <v>17</v>
      </c>
    </row>
    <row r="117" spans="1:10" ht="30" customHeight="1" x14ac:dyDescent="0.35">
      <c r="A117" s="4">
        <v>110</v>
      </c>
      <c r="B117" s="5" t="s">
        <v>164</v>
      </c>
      <c r="C117" s="6" t="s">
        <v>169</v>
      </c>
      <c r="D117" s="7" t="s">
        <v>170</v>
      </c>
      <c r="E117" s="8" t="s">
        <v>17</v>
      </c>
      <c r="F117" s="8" t="s">
        <v>15</v>
      </c>
      <c r="G117" s="8"/>
      <c r="H117" s="9"/>
      <c r="I117" s="10"/>
      <c r="J117" s="8" t="s">
        <v>17</v>
      </c>
    </row>
    <row r="118" spans="1:10" ht="30" customHeight="1" x14ac:dyDescent="0.35">
      <c r="A118" s="4">
        <v>111</v>
      </c>
      <c r="B118" s="5" t="s">
        <v>164</v>
      </c>
      <c r="C118" s="6" t="s">
        <v>169</v>
      </c>
      <c r="D118" s="7" t="s">
        <v>171</v>
      </c>
      <c r="E118" s="8" t="s">
        <v>17</v>
      </c>
      <c r="F118" s="8" t="s">
        <v>15</v>
      </c>
      <c r="G118" s="8"/>
      <c r="H118" s="9"/>
      <c r="I118" s="10"/>
      <c r="J118" s="8" t="s">
        <v>17</v>
      </c>
    </row>
    <row r="119" spans="1:10" ht="30" customHeight="1" x14ac:dyDescent="0.35">
      <c r="A119" s="4">
        <v>112</v>
      </c>
      <c r="B119" s="5" t="s">
        <v>164</v>
      </c>
      <c r="C119" s="6" t="s">
        <v>172</v>
      </c>
      <c r="D119" s="7" t="s">
        <v>173</v>
      </c>
      <c r="E119" s="8" t="s">
        <v>17</v>
      </c>
      <c r="F119" s="8" t="s">
        <v>15</v>
      </c>
      <c r="G119" s="8"/>
      <c r="H119" s="9"/>
      <c r="I119" s="10"/>
      <c r="J119" s="8" t="s">
        <v>17</v>
      </c>
    </row>
    <row r="120" spans="1:10" ht="30" customHeight="1" x14ac:dyDescent="0.35">
      <c r="A120" s="4">
        <v>113</v>
      </c>
      <c r="B120" s="5" t="s">
        <v>164</v>
      </c>
      <c r="C120" s="6" t="s">
        <v>172</v>
      </c>
      <c r="D120" s="7" t="s">
        <v>174</v>
      </c>
      <c r="E120" s="8" t="s">
        <v>17</v>
      </c>
      <c r="F120" s="8" t="s">
        <v>15</v>
      </c>
      <c r="G120" s="8"/>
      <c r="H120" s="9"/>
      <c r="I120" s="10"/>
      <c r="J120" s="8" t="s">
        <v>17</v>
      </c>
    </row>
    <row r="121" spans="1:10" ht="30" customHeight="1" x14ac:dyDescent="0.35">
      <c r="A121" s="4">
        <v>114</v>
      </c>
      <c r="B121" s="5" t="s">
        <v>164</v>
      </c>
      <c r="C121" s="6" t="s">
        <v>172</v>
      </c>
      <c r="D121" s="7" t="s">
        <v>175</v>
      </c>
      <c r="E121" s="8" t="s">
        <v>17</v>
      </c>
      <c r="F121" s="8" t="s">
        <v>15</v>
      </c>
      <c r="G121" s="8"/>
      <c r="H121" s="9"/>
      <c r="I121" s="10"/>
      <c r="J121" s="8" t="s">
        <v>17</v>
      </c>
    </row>
    <row r="122" spans="1:10" ht="20.149999999999999" customHeight="1" x14ac:dyDescent="0.35">
      <c r="A122" s="120" t="s">
        <v>176</v>
      </c>
      <c r="B122" s="121"/>
      <c r="C122" s="121"/>
      <c r="D122" s="121"/>
      <c r="E122" s="121"/>
      <c r="F122" s="121"/>
      <c r="G122" s="121"/>
      <c r="H122" s="121"/>
      <c r="I122" s="121"/>
      <c r="J122" s="112"/>
    </row>
    <row r="123" spans="1:10" ht="30" customHeight="1" x14ac:dyDescent="0.35">
      <c r="A123" s="61">
        <v>115</v>
      </c>
      <c r="B123" s="62" t="s">
        <v>177</v>
      </c>
      <c r="C123" s="63" t="s">
        <v>178</v>
      </c>
      <c r="D123" s="64" t="s">
        <v>179</v>
      </c>
      <c r="E123" s="8" t="s">
        <v>17</v>
      </c>
      <c r="F123" s="8" t="s">
        <v>19</v>
      </c>
      <c r="G123" s="8"/>
      <c r="H123" s="65"/>
      <c r="I123" s="66"/>
      <c r="J123" s="8" t="s">
        <v>17</v>
      </c>
    </row>
    <row r="124" spans="1:10" ht="30" customHeight="1" x14ac:dyDescent="0.35">
      <c r="A124" s="61">
        <v>116</v>
      </c>
      <c r="B124" s="62" t="s">
        <v>177</v>
      </c>
      <c r="C124" s="63" t="s">
        <v>178</v>
      </c>
      <c r="D124" s="64" t="s">
        <v>180</v>
      </c>
      <c r="E124" s="8" t="s">
        <v>17</v>
      </c>
      <c r="F124" s="8" t="s">
        <v>19</v>
      </c>
      <c r="G124" s="8"/>
      <c r="H124" s="65"/>
      <c r="I124" s="66"/>
      <c r="J124" s="8" t="s">
        <v>17</v>
      </c>
    </row>
    <row r="125" spans="1:10" ht="30" customHeight="1" x14ac:dyDescent="0.35">
      <c r="A125" s="61">
        <v>117</v>
      </c>
      <c r="B125" s="62" t="s">
        <v>177</v>
      </c>
      <c r="C125" s="63" t="s">
        <v>178</v>
      </c>
      <c r="D125" s="64" t="s">
        <v>181</v>
      </c>
      <c r="E125" s="8" t="s">
        <v>17</v>
      </c>
      <c r="F125" s="8" t="s">
        <v>19</v>
      </c>
      <c r="G125" s="8"/>
      <c r="H125" s="65"/>
      <c r="I125" s="66"/>
      <c r="J125" s="8" t="s">
        <v>17</v>
      </c>
    </row>
    <row r="126" spans="1:10" ht="30" customHeight="1" x14ac:dyDescent="0.35">
      <c r="A126" s="61">
        <v>118</v>
      </c>
      <c r="B126" s="62" t="s">
        <v>177</v>
      </c>
      <c r="C126" s="63" t="s">
        <v>182</v>
      </c>
      <c r="D126" s="64" t="s">
        <v>183</v>
      </c>
      <c r="E126" s="8" t="s">
        <v>17</v>
      </c>
      <c r="F126" s="8" t="s">
        <v>19</v>
      </c>
      <c r="G126" s="8"/>
      <c r="H126" s="65"/>
      <c r="I126" s="66"/>
      <c r="J126" s="8" t="s">
        <v>17</v>
      </c>
    </row>
    <row r="127" spans="1:10" ht="30" customHeight="1" x14ac:dyDescent="0.35">
      <c r="A127" s="61">
        <v>119</v>
      </c>
      <c r="B127" s="62" t="s">
        <v>177</v>
      </c>
      <c r="C127" s="63" t="s">
        <v>182</v>
      </c>
      <c r="D127" s="64" t="s">
        <v>184</v>
      </c>
      <c r="E127" s="8" t="s">
        <v>17</v>
      </c>
      <c r="F127" s="8" t="s">
        <v>19</v>
      </c>
      <c r="G127" s="8"/>
      <c r="H127" s="65"/>
      <c r="I127" s="66"/>
      <c r="J127" s="8" t="s">
        <v>17</v>
      </c>
    </row>
    <row r="128" spans="1:10" ht="30" customHeight="1" x14ac:dyDescent="0.35">
      <c r="A128" s="61">
        <v>120</v>
      </c>
      <c r="B128" s="62" t="s">
        <v>177</v>
      </c>
      <c r="C128" s="63" t="s">
        <v>185</v>
      </c>
      <c r="D128" s="64" t="s">
        <v>186</v>
      </c>
      <c r="E128" s="8" t="s">
        <v>17</v>
      </c>
      <c r="F128" s="8" t="s">
        <v>19</v>
      </c>
      <c r="G128" s="8"/>
      <c r="H128" s="65"/>
      <c r="I128" s="66"/>
      <c r="J128" s="8" t="s">
        <v>17</v>
      </c>
    </row>
    <row r="129" spans="1:10" ht="30" customHeight="1" x14ac:dyDescent="0.35">
      <c r="A129" s="61">
        <v>121</v>
      </c>
      <c r="B129" s="62" t="s">
        <v>177</v>
      </c>
      <c r="C129" s="63" t="s">
        <v>185</v>
      </c>
      <c r="D129" s="64" t="s">
        <v>187</v>
      </c>
      <c r="E129" s="8" t="s">
        <v>17</v>
      </c>
      <c r="F129" s="8" t="s">
        <v>19</v>
      </c>
      <c r="G129" s="8"/>
      <c r="H129" s="65"/>
      <c r="I129" s="66"/>
      <c r="J129" s="8" t="s">
        <v>17</v>
      </c>
    </row>
    <row r="130" spans="1:10" ht="30" customHeight="1" x14ac:dyDescent="0.35">
      <c r="A130" s="61">
        <v>122</v>
      </c>
      <c r="B130" s="62" t="s">
        <v>177</v>
      </c>
      <c r="C130" s="63" t="s">
        <v>188</v>
      </c>
      <c r="D130" s="64" t="s">
        <v>189</v>
      </c>
      <c r="E130" s="8" t="s">
        <v>17</v>
      </c>
      <c r="F130" s="8" t="s">
        <v>19</v>
      </c>
      <c r="G130" s="8"/>
      <c r="H130" s="65"/>
      <c r="I130" s="66"/>
      <c r="J130" s="8" t="s">
        <v>17</v>
      </c>
    </row>
    <row r="131" spans="1:10" ht="30" customHeight="1" x14ac:dyDescent="0.35">
      <c r="A131" s="61">
        <v>123</v>
      </c>
      <c r="B131" s="62" t="s">
        <v>177</v>
      </c>
      <c r="C131" s="63" t="s">
        <v>188</v>
      </c>
      <c r="D131" s="64" t="s">
        <v>190</v>
      </c>
      <c r="E131" s="8" t="s">
        <v>17</v>
      </c>
      <c r="F131" s="8" t="s">
        <v>19</v>
      </c>
      <c r="G131" s="8"/>
      <c r="H131" s="65"/>
      <c r="I131" s="66"/>
      <c r="J131" s="8" t="s">
        <v>17</v>
      </c>
    </row>
    <row r="132" spans="1:10" ht="20.149999999999999" customHeight="1" x14ac:dyDescent="0.35">
      <c r="A132" s="113" t="s">
        <v>191</v>
      </c>
      <c r="B132" s="114"/>
      <c r="C132" s="114"/>
      <c r="D132" s="114"/>
      <c r="E132" s="114"/>
      <c r="F132" s="114"/>
      <c r="G132" s="114"/>
      <c r="H132" s="114"/>
      <c r="I132" s="114"/>
      <c r="J132" s="106"/>
    </row>
    <row r="133" spans="1:10" ht="30" customHeight="1" x14ac:dyDescent="0.35">
      <c r="A133" s="19">
        <v>124</v>
      </c>
      <c r="B133" s="20" t="s">
        <v>192</v>
      </c>
      <c r="C133" s="21" t="s">
        <v>193</v>
      </c>
      <c r="D133" s="22" t="s">
        <v>194</v>
      </c>
      <c r="E133" s="8" t="s">
        <v>17</v>
      </c>
      <c r="F133" s="8" t="s">
        <v>19</v>
      </c>
      <c r="G133" s="8"/>
      <c r="H133" s="23"/>
      <c r="I133" s="24"/>
      <c r="J133" s="8" t="s">
        <v>17</v>
      </c>
    </row>
    <row r="134" spans="1:10" ht="30" customHeight="1" x14ac:dyDescent="0.35">
      <c r="A134" s="19">
        <v>125</v>
      </c>
      <c r="B134" s="20" t="s">
        <v>192</v>
      </c>
      <c r="C134" s="21" t="s">
        <v>193</v>
      </c>
      <c r="D134" s="22" t="s">
        <v>195</v>
      </c>
      <c r="E134" s="8" t="s">
        <v>17</v>
      </c>
      <c r="F134" s="8" t="s">
        <v>19</v>
      </c>
      <c r="G134" s="8"/>
      <c r="H134" s="23"/>
      <c r="I134" s="24"/>
      <c r="J134" s="8" t="s">
        <v>17</v>
      </c>
    </row>
    <row r="135" spans="1:10" ht="30" customHeight="1" x14ac:dyDescent="0.35">
      <c r="A135" s="19">
        <v>126</v>
      </c>
      <c r="B135" s="20" t="s">
        <v>192</v>
      </c>
      <c r="C135" s="21" t="s">
        <v>193</v>
      </c>
      <c r="D135" s="22" t="s">
        <v>196</v>
      </c>
      <c r="E135" s="8" t="s">
        <v>17</v>
      </c>
      <c r="F135" s="8" t="s">
        <v>19</v>
      </c>
      <c r="G135" s="8"/>
      <c r="H135" s="23"/>
      <c r="I135" s="24"/>
      <c r="J135" s="8" t="s">
        <v>17</v>
      </c>
    </row>
    <row r="136" spans="1:10" ht="30" customHeight="1" x14ac:dyDescent="0.35">
      <c r="A136" s="19">
        <v>127</v>
      </c>
      <c r="B136" s="20" t="s">
        <v>192</v>
      </c>
      <c r="C136" s="21" t="s">
        <v>193</v>
      </c>
      <c r="D136" s="22" t="s">
        <v>197</v>
      </c>
      <c r="E136" s="8" t="s">
        <v>17</v>
      </c>
      <c r="F136" s="8" t="s">
        <v>19</v>
      </c>
      <c r="G136" s="8"/>
      <c r="H136" s="23"/>
      <c r="I136" s="24"/>
      <c r="J136" s="8" t="s">
        <v>17</v>
      </c>
    </row>
    <row r="137" spans="1:10" ht="30" customHeight="1" x14ac:dyDescent="0.35">
      <c r="A137" s="19">
        <v>128</v>
      </c>
      <c r="B137" s="20" t="s">
        <v>192</v>
      </c>
      <c r="C137" s="21" t="s">
        <v>198</v>
      </c>
      <c r="D137" s="22" t="s">
        <v>199</v>
      </c>
      <c r="E137" s="8" t="s">
        <v>17</v>
      </c>
      <c r="F137" s="8" t="s">
        <v>19</v>
      </c>
      <c r="G137" s="8"/>
      <c r="H137" s="23"/>
      <c r="I137" s="24"/>
      <c r="J137" s="8" t="s">
        <v>17</v>
      </c>
    </row>
    <row r="138" spans="1:10" ht="30" customHeight="1" x14ac:dyDescent="0.35">
      <c r="A138" s="19">
        <v>129</v>
      </c>
      <c r="B138" s="20" t="s">
        <v>192</v>
      </c>
      <c r="C138" s="21" t="s">
        <v>198</v>
      </c>
      <c r="D138" s="22" t="s">
        <v>200</v>
      </c>
      <c r="E138" s="8" t="s">
        <v>17</v>
      </c>
      <c r="F138" s="8" t="s">
        <v>19</v>
      </c>
      <c r="G138" s="8"/>
      <c r="H138" s="23"/>
      <c r="I138" s="24"/>
      <c r="J138" s="8" t="s">
        <v>17</v>
      </c>
    </row>
    <row r="139" spans="1:10" ht="30" customHeight="1" x14ac:dyDescent="0.35">
      <c r="A139" s="19">
        <v>130</v>
      </c>
      <c r="B139" s="20" t="s">
        <v>192</v>
      </c>
      <c r="C139" s="21" t="s">
        <v>198</v>
      </c>
      <c r="D139" s="22" t="s">
        <v>201</v>
      </c>
      <c r="E139" s="8" t="s">
        <v>17</v>
      </c>
      <c r="F139" s="8" t="s">
        <v>19</v>
      </c>
      <c r="G139" s="8"/>
      <c r="H139" s="23"/>
      <c r="I139" s="24"/>
      <c r="J139" s="8" t="s">
        <v>17</v>
      </c>
    </row>
    <row r="140" spans="1:10" ht="30" customHeight="1" x14ac:dyDescent="0.35">
      <c r="A140" s="19">
        <v>131</v>
      </c>
      <c r="B140" s="20" t="s">
        <v>192</v>
      </c>
      <c r="C140" s="21" t="s">
        <v>198</v>
      </c>
      <c r="D140" s="22" t="s">
        <v>202</v>
      </c>
      <c r="E140" s="8" t="s">
        <v>17</v>
      </c>
      <c r="F140" s="8" t="s">
        <v>19</v>
      </c>
      <c r="G140" s="8"/>
      <c r="H140" s="23"/>
      <c r="I140" s="24"/>
      <c r="J140" s="8" t="s">
        <v>17</v>
      </c>
    </row>
  </sheetData>
  <mergeCells count="14">
    <mergeCell ref="A1:I1"/>
    <mergeCell ref="A103:I103"/>
    <mergeCell ref="A113:I113"/>
    <mergeCell ref="A20:I20"/>
    <mergeCell ref="A84:I84"/>
    <mergeCell ref="A33:I33"/>
    <mergeCell ref="A93:I93"/>
    <mergeCell ref="A132:I132"/>
    <mergeCell ref="A2:I2"/>
    <mergeCell ref="A75:I75"/>
    <mergeCell ref="A58:I58"/>
    <mergeCell ref="A122:I122"/>
    <mergeCell ref="A47:I47"/>
    <mergeCell ref="A5:I5"/>
  </mergeCells>
  <dataValidations count="2">
    <dataValidation type="list" allowBlank="1" sqref="E5:E140 G5:G140 F5 J5:J140 F20 F33 F47 F58 F75 F84 F93 F103 F113 F122 F132" xr:uid="{00000000-0002-0000-0000-000000000000}">
      <formula1>"Pending,In Progress,Complete,N/A"</formula1>
    </dataValidation>
    <dataValidation type="list" allowBlank="1" sqref="F6:F19 F21:F32 F34:F46 F48:F57 F59:F74 F76:F83 F85:F92 F94:F102 F104:F112 F114:F121 F123:F131 F133:F140" xr:uid="{2697B000-7227-40E1-AEE8-9785BB31956E}">
      <formula1>"HOD, Accountant, Tax Associate, Audit Associate"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workbookViewId="0">
      <pane ySplit="4" topLeftCell="A5" activePane="bottomLeft" state="frozen"/>
      <selection pane="bottomLeft" activeCell="I18" sqref="I18"/>
    </sheetView>
  </sheetViews>
  <sheetFormatPr defaultRowHeight="14.5" x14ac:dyDescent="0.35"/>
  <cols>
    <col min="1" max="1" width="40" customWidth="1"/>
    <col min="2" max="2" width="14" customWidth="1"/>
    <col min="3" max="4" width="12" customWidth="1"/>
    <col min="5" max="5" width="16" customWidth="1"/>
    <col min="6" max="6" width="14" customWidth="1"/>
    <col min="7" max="9" width="12.453125" customWidth="1"/>
  </cols>
  <sheetData>
    <row r="1" spans="1:9" ht="32.15" customHeight="1" x14ac:dyDescent="0.35">
      <c r="A1" s="133" t="s">
        <v>203</v>
      </c>
      <c r="B1" s="115"/>
      <c r="C1" s="115"/>
      <c r="D1" s="115"/>
      <c r="E1" s="115"/>
      <c r="F1" s="115"/>
    </row>
    <row r="2" spans="1:9" ht="8.15" customHeight="1" x14ac:dyDescent="0.35"/>
    <row r="3" spans="1:9" ht="22.5" customHeight="1" x14ac:dyDescent="0.35">
      <c r="G3" s="134" t="s">
        <v>204</v>
      </c>
      <c r="H3" s="135"/>
      <c r="I3" s="135"/>
    </row>
    <row r="4" spans="1:9" ht="20.149999999999999" customHeight="1" x14ac:dyDescent="0.35">
      <c r="A4" s="1" t="s">
        <v>205</v>
      </c>
      <c r="B4" s="1" t="s">
        <v>206</v>
      </c>
      <c r="C4" s="1" t="s">
        <v>207</v>
      </c>
      <c r="D4" s="1" t="s">
        <v>16</v>
      </c>
      <c r="E4" s="1" t="s">
        <v>208</v>
      </c>
      <c r="F4" s="1" t="s">
        <v>209</v>
      </c>
      <c r="G4" s="1" t="s">
        <v>16</v>
      </c>
      <c r="H4" s="1" t="s">
        <v>208</v>
      </c>
      <c r="I4" s="1" t="s">
        <v>209</v>
      </c>
    </row>
    <row r="5" spans="1:9" ht="22" customHeight="1" x14ac:dyDescent="0.35">
      <c r="A5" s="3" t="s">
        <v>11</v>
      </c>
      <c r="B5" s="67">
        <v>4</v>
      </c>
      <c r="C5" s="67">
        <v>16</v>
      </c>
      <c r="D5" s="68">
        <f>COUNTIF('Monthly Checklist'!E6:E19,"Complete")</f>
        <v>1</v>
      </c>
      <c r="E5" s="69">
        <f>16-D5</f>
        <v>15</v>
      </c>
      <c r="F5" s="70">
        <f t="shared" ref="F5:F16" si="0">IFERROR(D5/C5,0)</f>
        <v>6.25E-2</v>
      </c>
      <c r="G5" s="68">
        <f>COUNTIF('Monthly Checklist'!J6:J19,"Complete")</f>
        <v>0</v>
      </c>
      <c r="H5" s="69">
        <f>16-G5</f>
        <v>16</v>
      </c>
      <c r="I5" s="74">
        <f>IFERROR(G5/B5,0)</f>
        <v>0</v>
      </c>
    </row>
    <row r="6" spans="1:9" ht="22" customHeight="1" x14ac:dyDescent="0.35">
      <c r="A6" s="11" t="s">
        <v>36</v>
      </c>
      <c r="B6" s="71">
        <v>4</v>
      </c>
      <c r="C6" s="71">
        <v>12</v>
      </c>
      <c r="D6" s="72">
        <f>COUNTIF('Monthly Checklist'!E21:E32,"Complete")</f>
        <v>0</v>
      </c>
      <c r="E6" s="73">
        <f>12-D6</f>
        <v>12</v>
      </c>
      <c r="F6" s="74">
        <f t="shared" si="0"/>
        <v>0</v>
      </c>
      <c r="G6" s="72">
        <f>COUNTIF('Monthly Checklist'!J21:J32,"Complete")</f>
        <v>0</v>
      </c>
      <c r="H6" s="73">
        <f>12-G6</f>
        <v>12</v>
      </c>
      <c r="I6" s="74">
        <f t="shared" ref="I6:I16" si="1">IFERROR(G6/B6,0)</f>
        <v>0</v>
      </c>
    </row>
    <row r="7" spans="1:9" ht="22" customHeight="1" x14ac:dyDescent="0.35">
      <c r="A7" s="18" t="s">
        <v>55</v>
      </c>
      <c r="B7" s="75">
        <v>4</v>
      </c>
      <c r="C7" s="75">
        <v>13</v>
      </c>
      <c r="D7" s="76">
        <f>COUNTIF('Monthly Checklist'!E34:E46,"Complete")</f>
        <v>0</v>
      </c>
      <c r="E7" s="77">
        <f>13-D7</f>
        <v>13</v>
      </c>
      <c r="F7" s="78">
        <f t="shared" si="0"/>
        <v>0</v>
      </c>
      <c r="G7" s="76">
        <f>COUNTIF('Monthly Checklist'!J34:J46,"Complete")</f>
        <v>0</v>
      </c>
      <c r="H7" s="77">
        <f>13-G7</f>
        <v>13</v>
      </c>
      <c r="I7" s="74">
        <f t="shared" si="1"/>
        <v>0</v>
      </c>
    </row>
    <row r="8" spans="1:9" ht="22" customHeight="1" x14ac:dyDescent="0.35">
      <c r="A8" s="25" t="s">
        <v>73</v>
      </c>
      <c r="B8" s="79">
        <v>6</v>
      </c>
      <c r="C8" s="79">
        <v>15</v>
      </c>
      <c r="D8" s="80">
        <f>COUNTIF('Monthly Checklist'!E48:E57,"Complete")</f>
        <v>0</v>
      </c>
      <c r="E8" s="81">
        <f>15-D8</f>
        <v>15</v>
      </c>
      <c r="F8" s="82">
        <f t="shared" si="0"/>
        <v>0</v>
      </c>
      <c r="G8" s="80">
        <f>COUNTIF('Monthly Checklist'!J48:J57,"Complete")</f>
        <v>0</v>
      </c>
      <c r="H8" s="81">
        <f>15-G8</f>
        <v>15</v>
      </c>
      <c r="I8" s="74">
        <f t="shared" si="1"/>
        <v>0</v>
      </c>
    </row>
    <row r="9" spans="1:9" ht="22" customHeight="1" x14ac:dyDescent="0.35">
      <c r="A9" s="32" t="s">
        <v>89</v>
      </c>
      <c r="B9" s="83">
        <v>4</v>
      </c>
      <c r="C9" s="83">
        <v>16</v>
      </c>
      <c r="D9" s="84">
        <f>COUNTIF('Monthly Checklist'!E59:E74,"Complete")</f>
        <v>0</v>
      </c>
      <c r="E9" s="85">
        <f>16-D9</f>
        <v>16</v>
      </c>
      <c r="F9" s="86">
        <f t="shared" si="0"/>
        <v>0</v>
      </c>
      <c r="G9" s="84">
        <f>COUNTIF('Monthly Checklist'!J59:J74,"Complete")</f>
        <v>0</v>
      </c>
      <c r="H9" s="85">
        <f>16-G9</f>
        <v>16</v>
      </c>
      <c r="I9" s="74">
        <f t="shared" si="1"/>
        <v>0</v>
      </c>
    </row>
    <row r="10" spans="1:9" ht="22" customHeight="1" x14ac:dyDescent="0.35">
      <c r="A10" s="25" t="s">
        <v>111</v>
      </c>
      <c r="B10" s="79">
        <v>3</v>
      </c>
      <c r="C10" s="79">
        <v>8</v>
      </c>
      <c r="D10" s="80">
        <f>COUNTIF('Monthly Checklist'!E76:E83,"Complete")</f>
        <v>0</v>
      </c>
      <c r="E10" s="81">
        <f>8-D10</f>
        <v>8</v>
      </c>
      <c r="F10" s="82">
        <f t="shared" si="0"/>
        <v>0</v>
      </c>
      <c r="G10" s="80">
        <f>COUNTIF('Monthly Checklist'!J76:J83,"Complete")</f>
        <v>0</v>
      </c>
      <c r="H10" s="81">
        <f>8-G10</f>
        <v>8</v>
      </c>
      <c r="I10" s="74">
        <f t="shared" si="1"/>
        <v>0</v>
      </c>
    </row>
    <row r="11" spans="1:9" ht="22" customHeight="1" x14ac:dyDescent="0.35">
      <c r="A11" s="39" t="s">
        <v>124</v>
      </c>
      <c r="B11" s="87">
        <v>4</v>
      </c>
      <c r="C11" s="87">
        <v>8</v>
      </c>
      <c r="D11" s="88">
        <f>COUNTIF('Monthly Checklist'!E85:E92,"Complete")</f>
        <v>0</v>
      </c>
      <c r="E11" s="89">
        <f>8-D11</f>
        <v>8</v>
      </c>
      <c r="F11" s="90">
        <f t="shared" si="0"/>
        <v>0</v>
      </c>
      <c r="G11" s="88">
        <f>COUNTIF('Monthly Checklist'!J85:J92,"Complete")</f>
        <v>0</v>
      </c>
      <c r="H11" s="89">
        <f>8-G11</f>
        <v>8</v>
      </c>
      <c r="I11" s="74">
        <f t="shared" si="1"/>
        <v>0</v>
      </c>
    </row>
    <row r="12" spans="1:9" ht="22" customHeight="1" x14ac:dyDescent="0.35">
      <c r="A12" s="46" t="s">
        <v>137</v>
      </c>
      <c r="B12" s="91">
        <v>4</v>
      </c>
      <c r="C12" s="91">
        <v>9</v>
      </c>
      <c r="D12" s="92">
        <f>COUNTIF('Monthly Checklist'!E94:E102,"Complete")</f>
        <v>0</v>
      </c>
      <c r="E12" s="93">
        <f>9-D12</f>
        <v>9</v>
      </c>
      <c r="F12" s="94">
        <f t="shared" si="0"/>
        <v>0</v>
      </c>
      <c r="G12" s="92">
        <f>COUNTIF('Monthly Checklist'!J94:J102,"Complete")</f>
        <v>0</v>
      </c>
      <c r="H12" s="93">
        <f>9-G12</f>
        <v>9</v>
      </c>
      <c r="I12" s="74">
        <f t="shared" si="1"/>
        <v>0</v>
      </c>
    </row>
    <row r="13" spans="1:9" ht="22" customHeight="1" x14ac:dyDescent="0.35">
      <c r="A13" s="53" t="s">
        <v>150</v>
      </c>
      <c r="B13" s="95">
        <v>3</v>
      </c>
      <c r="C13" s="95">
        <v>9</v>
      </c>
      <c r="D13" s="96">
        <f>COUNTIF('Monthly Checklist'!E104:E112,"Complete")</f>
        <v>0</v>
      </c>
      <c r="E13" s="97">
        <f>9-D13</f>
        <v>9</v>
      </c>
      <c r="F13" s="98">
        <f t="shared" si="0"/>
        <v>0</v>
      </c>
      <c r="G13" s="96">
        <f>COUNTIF('Monthly Checklist'!J104:JH112,"Complete")</f>
        <v>0</v>
      </c>
      <c r="H13" s="97">
        <f>9-G13</f>
        <v>9</v>
      </c>
      <c r="I13" s="74">
        <f t="shared" si="1"/>
        <v>0</v>
      </c>
    </row>
    <row r="14" spans="1:9" ht="22" customHeight="1" x14ac:dyDescent="0.35">
      <c r="A14" s="3" t="s">
        <v>164</v>
      </c>
      <c r="B14" s="67">
        <v>3</v>
      </c>
      <c r="C14" s="67">
        <v>8</v>
      </c>
      <c r="D14" s="68">
        <f>COUNTIF('Monthly Checklist'!E114:E121,"Complete")</f>
        <v>0</v>
      </c>
      <c r="E14" s="69">
        <f>8-D14</f>
        <v>8</v>
      </c>
      <c r="F14" s="70">
        <f t="shared" si="0"/>
        <v>0</v>
      </c>
      <c r="G14" s="68">
        <f>COUNTIF('Monthly Checklist'!J114:J121,"Complete")</f>
        <v>0</v>
      </c>
      <c r="H14" s="69">
        <f>8-G14</f>
        <v>8</v>
      </c>
      <c r="I14" s="74">
        <f t="shared" si="1"/>
        <v>0</v>
      </c>
    </row>
    <row r="15" spans="1:9" ht="22" customHeight="1" x14ac:dyDescent="0.35">
      <c r="A15" s="60" t="s">
        <v>177</v>
      </c>
      <c r="B15" s="99">
        <v>4</v>
      </c>
      <c r="C15" s="99">
        <v>9</v>
      </c>
      <c r="D15" s="100">
        <f>COUNTIF('Monthly Checklist'!E123:E131,"Complete")</f>
        <v>0</v>
      </c>
      <c r="E15" s="101">
        <f>9-D15</f>
        <v>9</v>
      </c>
      <c r="F15" s="102">
        <f t="shared" si="0"/>
        <v>0</v>
      </c>
      <c r="G15" s="100">
        <f>COUNTIF('Monthly Checklist'!J123:J131,"Complete")</f>
        <v>0</v>
      </c>
      <c r="H15" s="101">
        <f>9-G15</f>
        <v>9</v>
      </c>
      <c r="I15" s="74">
        <f t="shared" si="1"/>
        <v>0</v>
      </c>
    </row>
    <row r="16" spans="1:9" ht="22" customHeight="1" x14ac:dyDescent="0.35">
      <c r="A16" s="18" t="s">
        <v>192</v>
      </c>
      <c r="B16" s="75">
        <v>2</v>
      </c>
      <c r="C16" s="75">
        <v>8</v>
      </c>
      <c r="D16" s="76">
        <f>COUNTIF('Monthly Checklist'!E133:E140,"Complete")</f>
        <v>0</v>
      </c>
      <c r="E16" s="77">
        <f>8-D16</f>
        <v>8</v>
      </c>
      <c r="F16" s="78">
        <f t="shared" si="0"/>
        <v>0</v>
      </c>
      <c r="G16" s="76">
        <f>COUNTIF('Monthly Checklist'!J133:J140,"Complete")</f>
        <v>0</v>
      </c>
      <c r="H16" s="77">
        <f>8-G16</f>
        <v>8</v>
      </c>
      <c r="I16" s="74">
        <f t="shared" si="1"/>
        <v>0</v>
      </c>
    </row>
    <row r="17" spans="1:9" ht="22" customHeight="1" x14ac:dyDescent="0.35">
      <c r="A17" s="2" t="s">
        <v>210</v>
      </c>
      <c r="B17" s="1">
        <f>SUM(B5:B16)</f>
        <v>45</v>
      </c>
      <c r="C17" s="1">
        <f t="shared" ref="C17:E17" si="2">SUM(C5:C16)</f>
        <v>131</v>
      </c>
      <c r="D17" s="1">
        <f t="shared" si="2"/>
        <v>1</v>
      </c>
      <c r="E17" s="1">
        <f t="shared" si="2"/>
        <v>130</v>
      </c>
      <c r="F17" s="103">
        <f>AVERAGE(F8:F16)</f>
        <v>0</v>
      </c>
      <c r="G17" s="1">
        <f t="shared" ref="G17:H17" si="3">SUM(G5:G16)</f>
        <v>0</v>
      </c>
      <c r="H17" s="1">
        <f t="shared" si="3"/>
        <v>131</v>
      </c>
      <c r="I17" s="103">
        <f>AVERAGE(I5:I16)</f>
        <v>0</v>
      </c>
    </row>
  </sheetData>
  <mergeCells count="2">
    <mergeCell ref="A1:F1"/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Checklist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Blackrose Audit</cp:lastModifiedBy>
  <cp:revision/>
  <dcterms:created xsi:type="dcterms:W3CDTF">2026-05-04T16:43:07Z</dcterms:created>
  <dcterms:modified xsi:type="dcterms:W3CDTF">2026-07-11T16:34:29Z</dcterms:modified>
  <cp:category/>
  <cp:contentStatus/>
</cp:coreProperties>
</file>
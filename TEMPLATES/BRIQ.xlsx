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2f139c7ce1f3fee/Documents/DM/Blackrose/Checklists month end/Briq/"/>
    </mc:Choice>
  </mc:AlternateContent>
  <xr:revisionPtr revIDLastSave="226" documentId="8_{8777BF85-6E3A-4665-AC96-E6D7063227ED}" xr6:coauthVersionLast="47" xr6:coauthVersionMax="47" xr10:uidLastSave="{1F08C375-9C51-41A5-9B5D-4D7A54A63B9F}"/>
  <bookViews>
    <workbookView xWindow="0" yWindow="0" windowWidth="19200" windowHeight="6810" activeTab="1" xr2:uid="{00000000-000D-0000-FFFF-FFFF00000000}"/>
  </bookViews>
  <sheets>
    <sheet name="Monthly Checklist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D16" i="2"/>
  <c r="E16" i="2"/>
  <c r="F16" i="2"/>
  <c r="D17" i="2"/>
  <c r="E17" i="2"/>
  <c r="F17" i="2"/>
  <c r="C18" i="2"/>
  <c r="D18" i="2"/>
  <c r="E18" i="2"/>
  <c r="B18" i="2"/>
  <c r="D15" i="2"/>
  <c r="D14" i="2"/>
  <c r="D13" i="2"/>
  <c r="E13" i="2" s="1"/>
  <c r="D12" i="2"/>
  <c r="F12" i="2" s="1"/>
  <c r="D11" i="2"/>
  <c r="D10" i="2"/>
  <c r="D9" i="2"/>
  <c r="F9" i="2" s="1"/>
  <c r="D8" i="2"/>
  <c r="F8" i="2" s="1"/>
  <c r="D7" i="2"/>
  <c r="D6" i="2"/>
  <c r="D5" i="2"/>
  <c r="E5" i="2" s="1"/>
  <c r="D4" i="2"/>
  <c r="F4" i="2" s="1"/>
  <c r="G18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E15" i="2"/>
  <c r="F15" i="2"/>
  <c r="F14" i="2"/>
  <c r="E14" i="2"/>
  <c r="E11" i="2"/>
  <c r="F11" i="2"/>
  <c r="F10" i="2"/>
  <c r="E10" i="2"/>
  <c r="E7" i="2"/>
  <c r="F7" i="2"/>
  <c r="F6" i="2"/>
  <c r="E6" i="2"/>
  <c r="E9" i="2"/>
  <c r="E4" i="2"/>
  <c r="F5" i="2"/>
  <c r="E8" i="2"/>
  <c r="E12" i="2"/>
  <c r="F13" i="2"/>
  <c r="F18" i="2"/>
  <c r="H18" i="2" l="1"/>
</calcChain>
</file>

<file path=xl/sharedStrings.xml><?xml version="1.0" encoding="utf-8"?>
<sst xmlns="http://schemas.openxmlformats.org/spreadsheetml/2006/main" count="780" uniqueCount="210">
  <si>
    <t>Engineering Consulting — Finance Department Monthly Checklist</t>
  </si>
  <si>
    <t>Month: _______________  |  Prepared by: _______________  |  Date: _______________  |  Reviewed by: _______________</t>
  </si>
  <si>
    <t>#</t>
  </si>
  <si>
    <t>Category</t>
  </si>
  <si>
    <t>Sub-Category</t>
  </si>
  <si>
    <t>Checklist Item</t>
  </si>
  <si>
    <t>Status</t>
  </si>
  <si>
    <t>Completed By</t>
  </si>
  <si>
    <t>Notes</t>
  </si>
  <si>
    <t>Confirmed By</t>
  </si>
  <si>
    <t xml:space="preserve">  Revenue &amp; Billing</t>
  </si>
  <si>
    <t>Revenue &amp; Billing</t>
  </si>
  <si>
    <t>Timesheet review</t>
  </si>
  <si>
    <t>Collect and approve all staff timesheets; confirm hours allocated to correct project codes</t>
  </si>
  <si>
    <t>Pending</t>
  </si>
  <si>
    <t>HOD</t>
  </si>
  <si>
    <t>Reconcile billable hours logged against project plans and engagement letters</t>
  </si>
  <si>
    <t>Identify and document non-billable hours by category (admin, training, BD)</t>
  </si>
  <si>
    <t>Invoice generation</t>
  </si>
  <si>
    <t>Raise invoices for all billable milestones, time-and-materials, and retainer fees due this month</t>
  </si>
  <si>
    <t>Confirm invoice amounts, payment terms, and client PO references before issuing</t>
  </si>
  <si>
    <t>Issue invoices to clients and log dispatch date in the billing register</t>
  </si>
  <si>
    <t>Record all invoices raised in the accounts receivable ledger against the correct project</t>
  </si>
  <si>
    <t>Revenue recognition</t>
  </si>
  <si>
    <t>Determine revenue to be recognised this month per project (% completion or milestone basis)</t>
  </si>
  <si>
    <t>Post revenue recognition journals; defer income for work not yet earned</t>
  </si>
  <si>
    <t>Reconcile recognised revenue to invoices raised and WIP movements</t>
  </si>
  <si>
    <t>Confirm contract modifications or scope changes are reflected in revenue schedules</t>
  </si>
  <si>
    <t xml:space="preserve">  Project Accounting &amp; WIP</t>
  </si>
  <si>
    <t>Project Accounting &amp; WIP</t>
  </si>
  <si>
    <t>WIP review</t>
  </si>
  <si>
    <t>Update work-in-progress (WIP) register for all active projects</t>
  </si>
  <si>
    <t>Reconcile WIP: opening balance + costs incurred − revenue recognised = closing WIP</t>
  </si>
  <si>
    <t>Review WIP for projects nearing or exceeding budget; escalate to project managers</t>
  </si>
  <si>
    <t>Write down WIP for any projects where recovery is doubtful; obtain management approval</t>
  </si>
  <si>
    <t>Cost allocation</t>
  </si>
  <si>
    <t>Allocate direct project costs (labour, subconsultants, materials, site costs) to correct project codes</t>
  </si>
  <si>
    <t>Confirm subconsultant invoices are approved and posted against the correct project</t>
  </si>
  <si>
    <t>Allocate indirect overhead costs to projects per the agreed apportionment methodology</t>
  </si>
  <si>
    <t>Project profitability</t>
  </si>
  <si>
    <t>Prepare month-end project profitability report (revenue vs cost per project)</t>
  </si>
  <si>
    <t>Identify projects with negative margins or cost overruns; report to management</t>
  </si>
  <si>
    <t>Update project completion estimates and revised budget-at-completion (BAC) where needed</t>
  </si>
  <si>
    <t>Confirm all project opening and closing phases are correctly reflected in the system</t>
  </si>
  <si>
    <t>Contract registry</t>
  </si>
  <si>
    <t>Confirm if all contracts have been updated here</t>
  </si>
  <si>
    <t xml:space="preserve">  Expenditure &amp; Cost Control</t>
  </si>
  <si>
    <t>Expenditure &amp; Cost Control</t>
  </si>
  <si>
    <t>Invoice processing</t>
  </si>
  <si>
    <t>Ensure all supplier invoices received are coded, approved, and posted</t>
  </si>
  <si>
    <t>Ensure a payment voucher is raised signed by initiator and approver and attached to the appropriate invoice</t>
  </si>
  <si>
    <t>Confirm subconsultant and specialist contractor invoices match purchase orders or agreements</t>
  </si>
  <si>
    <t>Review and post staff expense claims; confirm receipts and project codes are correct</t>
  </si>
  <si>
    <t>Accruals &amp; prepayments</t>
  </si>
  <si>
    <t>Post accruals for costs incurred but not yet invoiced (subconsultants, site costs, utilities)</t>
  </si>
  <si>
    <t>Release prepayments proportionately; confirm remaining prepayment balances are valid</t>
  </si>
  <si>
    <t>Accrue monthly office costs — rent, insurance, software licences, professional subscriptions</t>
  </si>
  <si>
    <t>Cost control</t>
  </si>
  <si>
    <t>Compare actual costs to budget by department and project; flag variances above 10%</t>
  </si>
  <si>
    <t>Review travel and accommodation expenditure against policy and project budgets</t>
  </si>
  <si>
    <t>Confirm depreciation on engineering equipment, vehicles, and office assets is posted</t>
  </si>
  <si>
    <t>Review and approve any unbudgeted expenditure above the delegated authority threshold</t>
  </si>
  <si>
    <t>Review if details in the accounting system are adequately documented (date, payee, invoice number, invoice amount, details, PV number)</t>
  </si>
  <si>
    <t xml:space="preserve">  Advances</t>
  </si>
  <si>
    <t>Advances</t>
  </si>
  <si>
    <t>Staff advances</t>
  </si>
  <si>
    <t>Review advances register; confirm all open balances per staff member</t>
  </si>
  <si>
    <t>Director advances</t>
  </si>
  <si>
    <t>Follow up on all staff advances outstanding beyond the approved clearance period (30 days)</t>
  </si>
  <si>
    <t>Confirm no new advance is issued to staff with an unretired prior advance</t>
  </si>
  <si>
    <t>Project advances</t>
  </si>
  <si>
    <t>Reconcile project mobilisation advances against costs incurred to date</t>
  </si>
  <si>
    <t>Confirm client advances received are correctly recorded as deferred income / liability</t>
  </si>
  <si>
    <t>Flag advances to subconsultants pending liquidation; obtain retirement documentation</t>
  </si>
  <si>
    <t>Confirm advances ledger balance agrees to balance sheet advances line</t>
  </si>
  <si>
    <t xml:space="preserve">  Receivables</t>
  </si>
  <si>
    <t>Receivables</t>
  </si>
  <si>
    <t>Aged analysis</t>
  </si>
  <si>
    <t>Generate aged receivables report; review all balances by client and project</t>
  </si>
  <si>
    <t>Identify invoices overdue by 30, 60, and 90+ days; escalate 90+ day items to management</t>
  </si>
  <si>
    <t>Collections</t>
  </si>
  <si>
    <t>Issue payment reminders to clients with overdue invoices</t>
  </si>
  <si>
    <t>Follow up outstanding retainer and milestone payments with client contacts</t>
  </si>
  <si>
    <t>Post all cash receipts against open receivable items; confirm correct allocation by project</t>
  </si>
  <si>
    <t>Credit risk</t>
  </si>
  <si>
    <t>Assess recoverability of aged receivables; raise or adjust bad debt provision where required</t>
  </si>
  <si>
    <t>Confirm disputed invoice items are documented and being actively resolved</t>
  </si>
  <si>
    <t>Reconciliation</t>
  </si>
  <si>
    <t>Reconcile receivables ledger total to balance sheet receivables line</t>
  </si>
  <si>
    <t xml:space="preserve">  Payables</t>
  </si>
  <si>
    <t>Payables</t>
  </si>
  <si>
    <t>Generate aged payables report; review all balances by vendor</t>
  </si>
  <si>
    <t>Identify invoices due for payment this month; prepare payment run schedule</t>
  </si>
  <si>
    <t>Payments</t>
  </si>
  <si>
    <t>Process approved payment run; confirm bank transfers are authorised per policy</t>
  </si>
  <si>
    <t>Confirm subconsultant payments are made per agreed milestones or payment schedules</t>
  </si>
  <si>
    <t>Reconcile supplier statements to the payables ledger for key vendors</t>
  </si>
  <si>
    <t>Statutory payables</t>
  </si>
  <si>
    <t>Confirm PAYE, NSSF, NHIF remittances are processed and receipts filed</t>
  </si>
  <si>
    <t>Confirm VAT and withholding tax on subconsultant/professional fees is correctly handled</t>
  </si>
  <si>
    <t>Reconcile payables ledger total to balance sheet payables line</t>
  </si>
  <si>
    <t>Review long-outstanding creditor balances for continued validity</t>
  </si>
  <si>
    <t xml:space="preserve">  Payroll &amp; Staff Costs</t>
  </si>
  <si>
    <t>Payroll &amp; Staff Costs</t>
  </si>
  <si>
    <t>Payroll processing</t>
  </si>
  <si>
    <t>Confirm approved headcount and any new starters, leavers, or salary changes for the month</t>
  </si>
  <si>
    <t>Process monthly payroll; cross-check gross pay to approved salary schedule</t>
  </si>
  <si>
    <t>Issue payslips to all staff</t>
  </si>
  <si>
    <t>Reconcile net pay to bank transfer total before release</t>
  </si>
  <si>
    <t>Statutory deductions</t>
  </si>
  <si>
    <t>Confirm PAYE, NSSF, NHIF deductions are correctly computed and remitted</t>
  </si>
  <si>
    <t>File statutory remittance returns by due dates and retain payment receipts</t>
  </si>
  <si>
    <t>Staff costs allocation</t>
  </si>
  <si>
    <t>Allocate payroll costs to projects and cost centres per approved timesheet data</t>
  </si>
  <si>
    <t>Post employer pension and benefit contributions to the correct expense lines</t>
  </si>
  <si>
    <t>Reconcile total payroll cost per payroll report to the general ledger posting</t>
  </si>
  <si>
    <t xml:space="preserve">  Cash &amp; Bank</t>
  </si>
  <si>
    <t>Cash &amp; Bank</t>
  </si>
  <si>
    <t>Bank reconciliation</t>
  </si>
  <si>
    <t>Obtain month-end bank statements for all bank accounts</t>
  </si>
  <si>
    <t>Reconcile each bank account closing balance to the general ledger cash book balance</t>
  </si>
  <si>
    <t>List all outstanding deposits in transit at month-end; confirm expected clearance dates</t>
  </si>
  <si>
    <t>List all outstanding cheques and unpresented payments at month-end</t>
  </si>
  <si>
    <t>Investigate and resolve all reconciling items older than 30 days</t>
  </si>
  <si>
    <t>Confirm all bank charges, interest, and fees are posted in the cash book</t>
  </si>
  <si>
    <t>Review bank statement for any unusual or unauthorised transactions; escalate immediately</t>
  </si>
  <si>
    <t>Confirm no stale cheques (older than 6 months) remain uncleared on the reconciliation</t>
  </si>
  <si>
    <t>Petty cash</t>
  </si>
  <si>
    <t>Perform physical petty cash count; confirm notes and coins tally with the cashbook</t>
  </si>
  <si>
    <t>Reconcile petty cash physical balance to the petty cash ledger</t>
  </si>
  <si>
    <t>Confirm all petty cash vouchers are approved, complete, and filed with supporting receipts</t>
  </si>
  <si>
    <t>Replenish petty cash to the approved float level; post replenishment journal</t>
  </si>
  <si>
    <t>Cash management</t>
  </si>
  <si>
    <t>Confirm all inter-bank transfers for the month are posted in both accounts and reconciled</t>
  </si>
  <si>
    <t>Review month-end cash position against minimum operating balance requirements</t>
  </si>
  <si>
    <t>Confirm client retainer receipts and milestone payments are posted to correct project accounts</t>
  </si>
  <si>
    <t>Prepare month-end actual cash flow statement (receipts and payments)</t>
  </si>
  <si>
    <t>Cash forecasting</t>
  </si>
  <si>
    <t>Update rolling 3-month cash flow forecast with latest billing and cost data</t>
  </si>
  <si>
    <t>Identify any projected cash shortfalls; flag to management with proposed mitigations</t>
  </si>
  <si>
    <t>Confirm adequate cash is available for next payroll run and major payment obligations</t>
  </si>
  <si>
    <t xml:space="preserve">  Balance Sheet Integrity</t>
  </si>
  <si>
    <t>Balance Sheet Integrity</t>
  </si>
  <si>
    <t>Fixed assets</t>
  </si>
  <si>
    <t>Update fixed asset register for any new engineering equipment, vehicles, or IT assets acquired</t>
  </si>
  <si>
    <t>Confirm monthly depreciation is posted for all asset categories</t>
  </si>
  <si>
    <t>Remove any fully depreciated or disposed assets from the register</t>
  </si>
  <si>
    <t>Other BS items</t>
  </si>
  <si>
    <t>Confirm intercompany/inter-branch balances are reconciled and in agreement</t>
  </si>
  <si>
    <t>Verify deferred income balance reflects client advances and uninvoiced completed work</t>
  </si>
  <si>
    <t>Prepare and review the monthly trial balance; confirm it is in balance</t>
  </si>
  <si>
    <t>FX revaluation</t>
  </si>
  <si>
    <t xml:space="preserve">Have you revalued the FX assets </t>
  </si>
  <si>
    <t xml:space="preserve">  Tax &amp; Regulatory Compliance</t>
  </si>
  <si>
    <t>Tax &amp; Regulatory Compliance</t>
  </si>
  <si>
    <t>VAT</t>
  </si>
  <si>
    <t>Reconcile output VAT on invoices raised and input VAT on approved supplier invoices</t>
  </si>
  <si>
    <t>Prepare and file monthly VAT return by statutory deadline</t>
  </si>
  <si>
    <t>Retain all VAT invoices and confirm they meet statutory requirements</t>
  </si>
  <si>
    <t>Deferred revenue declaration</t>
  </si>
  <si>
    <t>Withholding tax</t>
  </si>
  <si>
    <t>Confirm withholding tax deducted on professional fees and subconsultant payments</t>
  </si>
  <si>
    <t>File withholding tax return and remit deducted amounts by due date</t>
  </si>
  <si>
    <t>Other compliance</t>
  </si>
  <si>
    <t>Review any upcoming regulatory or licensing renewal deadlines</t>
  </si>
  <si>
    <t>Confirm all staff operating licences and professional memberships are current</t>
  </si>
  <si>
    <t xml:space="preserve">  Budget &amp; Forecasting</t>
  </si>
  <si>
    <t>Budget &amp; Forecasting</t>
  </si>
  <si>
    <t>Budget vs actuals</t>
  </si>
  <si>
    <t>Prepare monthly budget vs actuals report by department and project</t>
  </si>
  <si>
    <t>Document and explain all material variances to management</t>
  </si>
  <si>
    <t>Update full-year revenue and cost forecast based on current project pipeline</t>
  </si>
  <si>
    <t>Pipeline</t>
  </si>
  <si>
    <t>Review business development pipeline; assess probability-weighted revenue for next 3 months</t>
  </si>
  <si>
    <t xml:space="preserve">  Management Reporting &amp; Governance</t>
  </si>
  <si>
    <t>Management Reporting &amp; Governance</t>
  </si>
  <si>
    <t>Reports</t>
  </si>
  <si>
    <t>Prepare monthly management accounts pack (P&amp;L, balance sheet, cash flow, project summary)</t>
  </si>
  <si>
    <t>Prepare project status dashboard — WIP, billings, collections, profitability by project</t>
  </si>
  <si>
    <t>Circulate management accounts to directors/partners within agreed reporting deadline</t>
  </si>
  <si>
    <t>Governance</t>
  </si>
  <si>
    <t>Review and action any outstanding internal audit or management review findings</t>
  </si>
  <si>
    <t>Confirm all financial authorisations and delegated authority limits are being observed</t>
  </si>
  <si>
    <t>Update the financial risk register with any new risks identified this month</t>
  </si>
  <si>
    <t>File all month-end working papers and supporting documents per document retention policy</t>
  </si>
  <si>
    <t>TZ Company</t>
  </si>
  <si>
    <t>Outside investment</t>
  </si>
  <si>
    <t>Do payments corroborate to the invoices provided</t>
  </si>
  <si>
    <t>Is the inter-company reconciliation signed</t>
  </si>
  <si>
    <t>Archival/filing</t>
  </si>
  <si>
    <t>Archival &amp; filing</t>
  </si>
  <si>
    <t>Expenditure</t>
  </si>
  <si>
    <t>Confirm if you have you uploaded the signed PVs alongside invoices to the files</t>
  </si>
  <si>
    <t>Cash &amp; bank</t>
  </si>
  <si>
    <t>Confirm if you have you uploaded the signed Bank recs and petty cash counts alongside invoices to the files</t>
  </si>
  <si>
    <t>Contracts</t>
  </si>
  <si>
    <t>Confirm if you have you uploaded the signed contracts to the files including rent agreements, client contracts etc</t>
  </si>
  <si>
    <t>Staff files</t>
  </si>
  <si>
    <t>Confirm if you have you uploaded the staff files and each staff file has ( a signed contract, contract matches the payroll, KRA PIN, NSSF, NHIF, Next of kin data)</t>
  </si>
  <si>
    <t>Management reports</t>
  </si>
  <si>
    <t>Confirm if you have you uploaded the signed managementto the files</t>
  </si>
  <si>
    <t>Monthly Checklist — Summary by Section</t>
  </si>
  <si>
    <t>Confirmed by  HOD status</t>
  </si>
  <si>
    <t>Section</t>
  </si>
  <si>
    <t>Sub-categories</t>
  </si>
  <si>
    <t>Total Items</t>
  </si>
  <si>
    <t>Complete</t>
  </si>
  <si>
    <t>Pending / Other</t>
  </si>
  <si>
    <t>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</si>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</sst>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5"/>
      <color rgb="FF1A1A1A"/>
      <name val="Arial"/>
    </font>
    <font>
      <sz val="10"/>
      <color rgb="FF888780"/>
      <name val="Arial"/>
    </font>
    <font>
      <b/>
      <sz val="10"/>
      <color rgb="FFFFFFFF"/>
      <name val="Arial"/>
    </font>
    <font>
      <b/>
      <sz val="10"/>
      <color rgb="FF27500A"/>
      <name val="Arial"/>
    </font>
    <font>
      <sz val="9"/>
      <color rgb="FF888780"/>
      <name val="Arial"/>
    </font>
    <font>
      <sz val="9"/>
      <color rgb="FF27500A"/>
      <name val="Arial"/>
    </font>
    <font>
      <sz val="10"/>
      <color rgb="FF1A1A1A"/>
      <name val="Arial"/>
    </font>
    <font>
      <sz val="9"/>
      <color rgb="FFBA7517"/>
      <name val="Arial"/>
    </font>
    <font>
      <sz val="9"/>
      <name val="Arial"/>
    </font>
    <font>
      <b/>
      <sz val="10"/>
      <color rgb="FF0C447C"/>
      <name val="Arial"/>
    </font>
    <font>
      <sz val="9"/>
      <color rgb="FF0C447C"/>
      <name val="Arial"/>
    </font>
    <font>
      <b/>
      <sz val="10"/>
      <color rgb="FF791F1F"/>
      <name val="Arial"/>
    </font>
    <font>
      <sz val="9"/>
      <color rgb="FF791F1F"/>
      <name val="Arial"/>
    </font>
    <font>
      <b/>
      <sz val="10"/>
      <color rgb="FF633806"/>
      <name val="Arial"/>
    </font>
    <font>
      <sz val="9"/>
      <color rgb="FF633806"/>
      <name val="Arial"/>
    </font>
    <font>
      <b/>
      <sz val="10"/>
      <color rgb="FF3C3489"/>
      <name val="Arial"/>
    </font>
    <font>
      <sz val="9"/>
      <color rgb="FF3C3489"/>
      <name val="Arial"/>
    </font>
    <font>
      <b/>
      <sz val="10"/>
      <color rgb="FF72243E"/>
      <name val="Arial"/>
    </font>
    <font>
      <sz val="9"/>
      <color rgb="FF72243E"/>
      <name val="Arial"/>
    </font>
    <font>
      <b/>
      <sz val="10"/>
      <color rgb="FF085041"/>
      <name val="Arial"/>
    </font>
    <font>
      <sz val="9"/>
      <color rgb="FF085041"/>
      <name val="Arial"/>
    </font>
    <font>
      <b/>
      <sz val="10"/>
      <color rgb="FF042C53"/>
      <name val="Arial"/>
    </font>
    <font>
      <sz val="9"/>
      <color rgb="FF042C53"/>
      <name val="Arial"/>
    </font>
    <font>
      <b/>
      <sz val="10"/>
      <color rgb="FF444441"/>
      <name val="Arial"/>
    </font>
    <font>
      <sz val="9"/>
      <color rgb="FF444441"/>
      <name val="Arial"/>
    </font>
    <font>
      <b/>
      <sz val="10"/>
      <color rgb="FF712B13"/>
      <name val="Arial"/>
    </font>
    <font>
      <sz val="9"/>
      <color rgb="FF712B13"/>
      <name val="Arial"/>
    </font>
    <font>
      <b/>
      <sz val="14"/>
      <color rgb="FF1A1A1A"/>
      <name val="Arial"/>
    </font>
    <font>
      <sz val="10"/>
      <name val="Arial"/>
    </font>
    <font>
      <sz val="10"/>
      <color rgb="FF3B6D11"/>
      <name val="Arial"/>
    </font>
    <font>
      <sz val="10"/>
      <color rgb="FFBA7517"/>
      <name val="Arial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F8F6"/>
      </patternFill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4F9EE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F2F8FD"/>
      </patternFill>
    </fill>
    <fill>
      <patternFill patternType="solid">
        <fgColor rgb="FFFCEBEB"/>
      </patternFill>
    </fill>
    <fill>
      <patternFill patternType="solid">
        <fgColor rgb="FFFEF5F5"/>
      </patternFill>
    </fill>
    <fill>
      <patternFill patternType="solid">
        <fgColor rgb="FFFDF6ED"/>
      </patternFill>
    </fill>
    <fill>
      <patternFill patternType="solid">
        <fgColor rgb="FFEEEDFE"/>
      </patternFill>
    </fill>
    <fill>
      <patternFill patternType="solid">
        <fgColor rgb="FFF7F7FE"/>
      </patternFill>
    </fill>
    <fill>
      <patternFill patternType="solid">
        <fgColor rgb="FFFBEAF0"/>
      </patternFill>
    </fill>
    <fill>
      <patternFill patternType="solid">
        <fgColor rgb="FFFEF4F7"/>
      </patternFill>
    </fill>
    <fill>
      <patternFill patternType="solid">
        <fgColor rgb="FFE1F5EE"/>
      </patternFill>
    </fill>
    <fill>
      <patternFill patternType="solid">
        <fgColor rgb="FFF0FAF5"/>
      </patternFill>
    </fill>
    <fill>
      <patternFill patternType="solid">
        <fgColor rgb="FFB5D4F4"/>
      </patternFill>
    </fill>
    <fill>
      <patternFill patternType="solid">
        <fgColor rgb="FFEEF6FC"/>
      </patternFill>
    </fill>
    <fill>
      <patternFill patternType="solid">
        <fgColor rgb="FFF1EFE8"/>
      </patternFill>
    </fill>
    <fill>
      <patternFill patternType="solid">
        <fgColor rgb="FFF8F7F4"/>
      </patternFill>
    </fill>
    <fill>
      <patternFill patternType="solid">
        <fgColor rgb="FFFAECE7"/>
      </patternFill>
    </fill>
    <fill>
      <patternFill patternType="solid">
        <fgColor rgb="FFFDF4F1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left" vertical="center" wrapText="1"/>
    </xf>
    <xf numFmtId="0" fontId="26" fillId="22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9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9" fontId="29" fillId="5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9" fontId="29" fillId="8" borderId="1" xfId="0" applyNumberFormat="1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9" fontId="29" fillId="10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9" fontId="29" fillId="11" borderId="1" xfId="0" applyNumberFormat="1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9" fontId="29" fillId="13" borderId="1" xfId="0" applyNumberFormat="1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9" fontId="29" fillId="15" borderId="1" xfId="0" applyNumberFormat="1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9" fontId="29" fillId="17" borderId="1" xfId="0" applyNumberFormat="1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9" fontId="29" fillId="19" borderId="1" xfId="0" applyNumberFormat="1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31" fillId="21" borderId="1" xfId="0" applyFont="1" applyFill="1" applyBorder="1" applyAlignment="1">
      <alignment horizontal="center" vertical="center"/>
    </xf>
    <xf numFmtId="9" fontId="29" fillId="21" borderId="1" xfId="0" applyNumberFormat="1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/>
    </xf>
    <xf numFmtId="9" fontId="29" fillId="2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20" borderId="1" xfId="0" applyFill="1" applyBorder="1"/>
    <xf numFmtId="0" fontId="0" fillId="22" borderId="1" xfId="0" applyFill="1" applyBorder="1"/>
    <xf numFmtId="0" fontId="24" fillId="20" borderId="1" xfId="0" applyFont="1" applyFill="1" applyBorder="1" applyAlignment="1">
      <alignment horizontal="left" vertical="center"/>
    </xf>
    <xf numFmtId="0" fontId="20" fillId="16" borderId="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 vertical="center"/>
    </xf>
    <xf numFmtId="0" fontId="26" fillId="22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24" borderId="0" xfId="0" applyFont="1" applyFill="1" applyAlignment="1">
      <alignment horizontal="center"/>
    </xf>
    <xf numFmtId="0" fontId="0" fillId="0" borderId="0" xfId="0" applyAlignment="1"/>
    <xf numFmtId="0" fontId="0" fillId="4" borderId="1" xfId="0" applyFill="1" applyBorder="1" applyAlignment="1"/>
    <xf numFmtId="0" fontId="0" fillId="7" borderId="1" xfId="0" applyFill="1" applyBorder="1" applyAlignment="1"/>
    <xf numFmtId="0" fontId="0" fillId="9" borderId="1" xfId="0" applyFill="1" applyBorder="1" applyAlignment="1"/>
    <xf numFmtId="0" fontId="0" fillId="6" borderId="1" xfId="0" applyFill="1" applyBorder="1" applyAlignment="1"/>
    <xf numFmtId="0" fontId="0" fillId="12" borderId="1" xfId="0" applyFill="1" applyBorder="1" applyAlignment="1"/>
    <xf numFmtId="0" fontId="0" fillId="14" borderId="1" xfId="0" applyFill="1" applyBorder="1" applyAlignment="1"/>
    <xf numFmtId="0" fontId="0" fillId="16" borderId="1" xfId="0" applyFill="1" applyBorder="1" applyAlignment="1"/>
    <xf numFmtId="0" fontId="0" fillId="18" borderId="1" xfId="0" applyFill="1" applyBorder="1" applyAlignment="1"/>
    <xf numFmtId="0" fontId="0" fillId="20" borderId="1" xfId="0" applyFill="1" applyBorder="1" applyAlignment="1"/>
    <xf numFmtId="0" fontId="0" fillId="22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workbookViewId="0">
      <pane ySplit="4" topLeftCell="A5" activePane="bottomLeft" state="frozen"/>
      <selection pane="bottomLeft" activeCell="M131" sqref="M131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58" customWidth="1"/>
    <col min="5" max="5" width="14" customWidth="1"/>
    <col min="6" max="6" width="20" customWidth="1"/>
    <col min="7" max="7" width="28" customWidth="1"/>
    <col min="8" max="8" width="20.28515625" style="138" customWidth="1"/>
    <col min="9" max="9" width="20.28515625" customWidth="1"/>
  </cols>
  <sheetData>
    <row r="1" spans="1:9" ht="36" customHeight="1">
      <c r="A1" s="125" t="s">
        <v>0</v>
      </c>
      <c r="B1" s="140"/>
      <c r="C1" s="140"/>
      <c r="D1" s="140"/>
      <c r="E1" s="140"/>
      <c r="F1" s="140"/>
      <c r="G1" s="140"/>
    </row>
    <row r="2" spans="1:9" ht="21.95" customHeight="1">
      <c r="A2" s="131" t="s">
        <v>1</v>
      </c>
      <c r="B2" s="140"/>
      <c r="C2" s="140"/>
      <c r="D2" s="140"/>
      <c r="E2" s="140"/>
      <c r="F2" s="140"/>
      <c r="G2" s="140"/>
    </row>
    <row r="3" spans="1:9" ht="8.1" customHeight="1"/>
    <row r="4" spans="1:9" ht="21.95" customHeight="1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35" t="s">
        <v>9</v>
      </c>
      <c r="I4" s="135" t="s">
        <v>6</v>
      </c>
    </row>
    <row r="5" spans="1:9" ht="20.100000000000001" customHeight="1">
      <c r="A5" s="133" t="s">
        <v>10</v>
      </c>
      <c r="B5" s="141"/>
      <c r="C5" s="141"/>
      <c r="D5" s="141"/>
      <c r="E5" s="141"/>
      <c r="F5" s="141"/>
      <c r="G5" s="141"/>
      <c r="I5" s="115"/>
    </row>
    <row r="6" spans="1:9" ht="30" customHeight="1">
      <c r="A6" s="4">
        <v>1</v>
      </c>
      <c r="B6" s="5" t="s">
        <v>11</v>
      </c>
      <c r="C6" s="6" t="s">
        <v>12</v>
      </c>
      <c r="D6" s="7" t="s">
        <v>13</v>
      </c>
      <c r="E6" s="8" t="s">
        <v>14</v>
      </c>
      <c r="F6" s="9"/>
      <c r="G6" s="10"/>
      <c r="H6" s="139" t="s">
        <v>15</v>
      </c>
      <c r="I6" s="8" t="s">
        <v>14</v>
      </c>
    </row>
    <row r="7" spans="1:9" ht="30" customHeight="1">
      <c r="A7" s="4">
        <v>2</v>
      </c>
      <c r="B7" s="5" t="s">
        <v>11</v>
      </c>
      <c r="C7" s="6" t="s">
        <v>12</v>
      </c>
      <c r="D7" s="7" t="s">
        <v>16</v>
      </c>
      <c r="E7" s="8" t="s">
        <v>14</v>
      </c>
      <c r="F7" s="9"/>
      <c r="G7" s="10"/>
      <c r="H7" s="139" t="s">
        <v>15</v>
      </c>
      <c r="I7" s="8" t="s">
        <v>14</v>
      </c>
    </row>
    <row r="8" spans="1:9" ht="30" customHeight="1">
      <c r="A8" s="4">
        <v>3</v>
      </c>
      <c r="B8" s="5" t="s">
        <v>11</v>
      </c>
      <c r="C8" s="6" t="s">
        <v>12</v>
      </c>
      <c r="D8" s="7" t="s">
        <v>17</v>
      </c>
      <c r="E8" s="8" t="s">
        <v>14</v>
      </c>
      <c r="F8" s="9"/>
      <c r="G8" s="10"/>
      <c r="H8" s="139" t="s">
        <v>15</v>
      </c>
      <c r="I8" s="8" t="s">
        <v>14</v>
      </c>
    </row>
    <row r="9" spans="1:9" ht="30" customHeight="1">
      <c r="A9" s="4">
        <v>4</v>
      </c>
      <c r="B9" s="5" t="s">
        <v>11</v>
      </c>
      <c r="C9" s="6" t="s">
        <v>18</v>
      </c>
      <c r="D9" s="7" t="s">
        <v>19</v>
      </c>
      <c r="E9" s="8" t="s">
        <v>14</v>
      </c>
      <c r="F9" s="9"/>
      <c r="G9" s="10"/>
      <c r="H9" s="139" t="s">
        <v>15</v>
      </c>
      <c r="I9" s="8" t="s">
        <v>14</v>
      </c>
    </row>
    <row r="10" spans="1:9" ht="30" customHeight="1">
      <c r="A10" s="4">
        <v>5</v>
      </c>
      <c r="B10" s="5" t="s">
        <v>11</v>
      </c>
      <c r="C10" s="6" t="s">
        <v>18</v>
      </c>
      <c r="D10" s="7" t="s">
        <v>20</v>
      </c>
      <c r="E10" s="8" t="s">
        <v>14</v>
      </c>
      <c r="F10" s="9"/>
      <c r="G10" s="10"/>
      <c r="H10" s="139" t="s">
        <v>15</v>
      </c>
      <c r="I10" s="8" t="s">
        <v>14</v>
      </c>
    </row>
    <row r="11" spans="1:9" ht="30" customHeight="1">
      <c r="A11" s="4">
        <v>6</v>
      </c>
      <c r="B11" s="5" t="s">
        <v>11</v>
      </c>
      <c r="C11" s="6" t="s">
        <v>18</v>
      </c>
      <c r="D11" s="7" t="s">
        <v>21</v>
      </c>
      <c r="E11" s="8" t="s">
        <v>14</v>
      </c>
      <c r="F11" s="9"/>
      <c r="G11" s="10"/>
      <c r="H11" s="139" t="s">
        <v>15</v>
      </c>
      <c r="I11" s="8" t="s">
        <v>14</v>
      </c>
    </row>
    <row r="12" spans="1:9" ht="30" customHeight="1">
      <c r="A12" s="4">
        <v>7</v>
      </c>
      <c r="B12" s="5" t="s">
        <v>11</v>
      </c>
      <c r="C12" s="6" t="s">
        <v>18</v>
      </c>
      <c r="D12" s="7" t="s">
        <v>22</v>
      </c>
      <c r="E12" s="8" t="s">
        <v>14</v>
      </c>
      <c r="F12" s="9"/>
      <c r="G12" s="10"/>
      <c r="H12" s="139" t="s">
        <v>15</v>
      </c>
      <c r="I12" s="8" t="s">
        <v>14</v>
      </c>
    </row>
    <row r="13" spans="1:9" ht="30" customHeight="1">
      <c r="A13" s="4">
        <v>8</v>
      </c>
      <c r="B13" s="5" t="s">
        <v>11</v>
      </c>
      <c r="C13" s="6" t="s">
        <v>23</v>
      </c>
      <c r="D13" s="7" t="s">
        <v>24</v>
      </c>
      <c r="E13" s="8" t="s">
        <v>14</v>
      </c>
      <c r="F13" s="9"/>
      <c r="G13" s="10"/>
      <c r="H13" s="139" t="s">
        <v>15</v>
      </c>
      <c r="I13" s="8" t="s">
        <v>14</v>
      </c>
    </row>
    <row r="14" spans="1:9" ht="30" customHeight="1">
      <c r="A14" s="4">
        <v>9</v>
      </c>
      <c r="B14" s="5" t="s">
        <v>11</v>
      </c>
      <c r="C14" s="6" t="s">
        <v>23</v>
      </c>
      <c r="D14" s="7" t="s">
        <v>25</v>
      </c>
      <c r="E14" s="8" t="s">
        <v>14</v>
      </c>
      <c r="F14" s="9"/>
      <c r="G14" s="10"/>
      <c r="H14" s="139" t="s">
        <v>15</v>
      </c>
      <c r="I14" s="8" t="s">
        <v>14</v>
      </c>
    </row>
    <row r="15" spans="1:9" ht="30" customHeight="1">
      <c r="A15" s="4">
        <v>10</v>
      </c>
      <c r="B15" s="5" t="s">
        <v>11</v>
      </c>
      <c r="C15" s="6" t="s">
        <v>23</v>
      </c>
      <c r="D15" s="7" t="s">
        <v>26</v>
      </c>
      <c r="E15" s="8" t="s">
        <v>14</v>
      </c>
      <c r="F15" s="9"/>
      <c r="G15" s="10"/>
      <c r="H15" s="139" t="s">
        <v>15</v>
      </c>
      <c r="I15" s="8" t="s">
        <v>14</v>
      </c>
    </row>
    <row r="16" spans="1:9" ht="30" customHeight="1">
      <c r="A16" s="4">
        <v>11</v>
      </c>
      <c r="B16" s="5" t="s">
        <v>11</v>
      </c>
      <c r="C16" s="6" t="s">
        <v>23</v>
      </c>
      <c r="D16" s="7" t="s">
        <v>27</v>
      </c>
      <c r="E16" s="8" t="s">
        <v>14</v>
      </c>
      <c r="F16" s="9"/>
      <c r="G16" s="10"/>
      <c r="H16" s="139" t="s">
        <v>15</v>
      </c>
      <c r="I16" s="8" t="s">
        <v>14</v>
      </c>
    </row>
    <row r="17" spans="1:9" ht="20.100000000000001" customHeight="1">
      <c r="A17" s="126" t="s">
        <v>28</v>
      </c>
      <c r="B17" s="142"/>
      <c r="C17" s="142"/>
      <c r="D17" s="142"/>
      <c r="E17" s="142"/>
      <c r="F17" s="142"/>
      <c r="G17" s="142"/>
      <c r="I17" s="8"/>
    </row>
    <row r="18" spans="1:9" ht="30" customHeight="1">
      <c r="A18" s="12">
        <v>12</v>
      </c>
      <c r="B18" s="13" t="s">
        <v>29</v>
      </c>
      <c r="C18" s="14" t="s">
        <v>30</v>
      </c>
      <c r="D18" s="15" t="s">
        <v>31</v>
      </c>
      <c r="E18" s="8" t="s">
        <v>14</v>
      </c>
      <c r="F18" s="16"/>
      <c r="G18" s="17"/>
      <c r="H18" s="139" t="s">
        <v>15</v>
      </c>
      <c r="I18" s="8" t="s">
        <v>14</v>
      </c>
    </row>
    <row r="19" spans="1:9" ht="30" customHeight="1">
      <c r="A19" s="12">
        <v>13</v>
      </c>
      <c r="B19" s="13" t="s">
        <v>29</v>
      </c>
      <c r="C19" s="14" t="s">
        <v>30</v>
      </c>
      <c r="D19" s="15" t="s">
        <v>32</v>
      </c>
      <c r="E19" s="8" t="s">
        <v>14</v>
      </c>
      <c r="F19" s="16"/>
      <c r="G19" s="17"/>
      <c r="H19" s="139" t="s">
        <v>15</v>
      </c>
      <c r="I19" s="8" t="s">
        <v>14</v>
      </c>
    </row>
    <row r="20" spans="1:9" ht="30" customHeight="1">
      <c r="A20" s="12">
        <v>14</v>
      </c>
      <c r="B20" s="13" t="s">
        <v>29</v>
      </c>
      <c r="C20" s="14" t="s">
        <v>30</v>
      </c>
      <c r="D20" s="15" t="s">
        <v>33</v>
      </c>
      <c r="E20" s="8" t="s">
        <v>14</v>
      </c>
      <c r="F20" s="16"/>
      <c r="G20" s="17"/>
      <c r="H20" s="139" t="s">
        <v>15</v>
      </c>
      <c r="I20" s="8" t="s">
        <v>14</v>
      </c>
    </row>
    <row r="21" spans="1:9" ht="30" customHeight="1">
      <c r="A21" s="12">
        <v>15</v>
      </c>
      <c r="B21" s="13" t="s">
        <v>29</v>
      </c>
      <c r="C21" s="14" t="s">
        <v>30</v>
      </c>
      <c r="D21" s="15" t="s">
        <v>34</v>
      </c>
      <c r="E21" s="8" t="s">
        <v>14</v>
      </c>
      <c r="F21" s="16"/>
      <c r="G21" s="17"/>
      <c r="H21" s="139" t="s">
        <v>15</v>
      </c>
      <c r="I21" s="8" t="s">
        <v>14</v>
      </c>
    </row>
    <row r="22" spans="1:9" ht="30" customHeight="1">
      <c r="A22" s="12">
        <v>16</v>
      </c>
      <c r="B22" s="13" t="s">
        <v>29</v>
      </c>
      <c r="C22" s="14" t="s">
        <v>35</v>
      </c>
      <c r="D22" s="15" t="s">
        <v>36</v>
      </c>
      <c r="E22" s="8" t="s">
        <v>14</v>
      </c>
      <c r="F22" s="16"/>
      <c r="G22" s="17"/>
      <c r="H22" s="139" t="s">
        <v>15</v>
      </c>
      <c r="I22" s="8" t="s">
        <v>14</v>
      </c>
    </row>
    <row r="23" spans="1:9" ht="30" customHeight="1">
      <c r="A23" s="12">
        <v>17</v>
      </c>
      <c r="B23" s="13" t="s">
        <v>29</v>
      </c>
      <c r="C23" s="14" t="s">
        <v>35</v>
      </c>
      <c r="D23" s="15" t="s">
        <v>37</v>
      </c>
      <c r="E23" s="8" t="s">
        <v>14</v>
      </c>
      <c r="F23" s="16"/>
      <c r="G23" s="17"/>
      <c r="H23" s="139" t="s">
        <v>15</v>
      </c>
      <c r="I23" s="8" t="s">
        <v>14</v>
      </c>
    </row>
    <row r="24" spans="1:9" ht="30" customHeight="1">
      <c r="A24" s="12">
        <v>18</v>
      </c>
      <c r="B24" s="13" t="s">
        <v>29</v>
      </c>
      <c r="C24" s="14" t="s">
        <v>35</v>
      </c>
      <c r="D24" s="15" t="s">
        <v>38</v>
      </c>
      <c r="E24" s="8" t="s">
        <v>14</v>
      </c>
      <c r="F24" s="16"/>
      <c r="G24" s="17"/>
      <c r="H24" s="139" t="s">
        <v>15</v>
      </c>
      <c r="I24" s="8" t="s">
        <v>14</v>
      </c>
    </row>
    <row r="25" spans="1:9" ht="30" customHeight="1">
      <c r="A25" s="12">
        <v>19</v>
      </c>
      <c r="B25" s="13" t="s">
        <v>29</v>
      </c>
      <c r="C25" s="14" t="s">
        <v>39</v>
      </c>
      <c r="D25" s="15" t="s">
        <v>40</v>
      </c>
      <c r="E25" s="8" t="s">
        <v>14</v>
      </c>
      <c r="F25" s="16"/>
      <c r="G25" s="17"/>
      <c r="H25" s="139" t="s">
        <v>15</v>
      </c>
      <c r="I25" s="8" t="s">
        <v>14</v>
      </c>
    </row>
    <row r="26" spans="1:9" ht="30" customHeight="1">
      <c r="A26" s="12">
        <v>20</v>
      </c>
      <c r="B26" s="13" t="s">
        <v>29</v>
      </c>
      <c r="C26" s="14" t="s">
        <v>39</v>
      </c>
      <c r="D26" s="15" t="s">
        <v>41</v>
      </c>
      <c r="E26" s="8" t="s">
        <v>14</v>
      </c>
      <c r="F26" s="16"/>
      <c r="G26" s="17"/>
      <c r="H26" s="139" t="s">
        <v>15</v>
      </c>
      <c r="I26" s="8" t="s">
        <v>14</v>
      </c>
    </row>
    <row r="27" spans="1:9" ht="30" customHeight="1">
      <c r="A27" s="12">
        <v>21</v>
      </c>
      <c r="B27" s="13" t="s">
        <v>29</v>
      </c>
      <c r="C27" s="14" t="s">
        <v>39</v>
      </c>
      <c r="D27" s="15" t="s">
        <v>42</v>
      </c>
      <c r="E27" s="8" t="s">
        <v>14</v>
      </c>
      <c r="F27" s="16"/>
      <c r="G27" s="17"/>
      <c r="H27" s="139" t="s">
        <v>15</v>
      </c>
      <c r="I27" s="8" t="s">
        <v>14</v>
      </c>
    </row>
    <row r="28" spans="1:9" ht="30" customHeight="1">
      <c r="A28" s="12">
        <v>22</v>
      </c>
      <c r="B28" s="13" t="s">
        <v>29</v>
      </c>
      <c r="C28" s="14" t="s">
        <v>39</v>
      </c>
      <c r="D28" s="15" t="s">
        <v>43</v>
      </c>
      <c r="E28" s="8" t="s">
        <v>14</v>
      </c>
      <c r="F28" s="16"/>
      <c r="G28" s="17"/>
      <c r="H28" s="139" t="s">
        <v>15</v>
      </c>
      <c r="I28" s="8" t="s">
        <v>14</v>
      </c>
    </row>
    <row r="29" spans="1:9" ht="30" customHeight="1">
      <c r="A29" s="12">
        <v>23</v>
      </c>
      <c r="B29" s="13" t="s">
        <v>29</v>
      </c>
      <c r="C29" s="14" t="s">
        <v>44</v>
      </c>
      <c r="D29" s="15" t="s">
        <v>45</v>
      </c>
      <c r="E29" s="8" t="s">
        <v>14</v>
      </c>
      <c r="F29" s="16"/>
      <c r="G29" s="17"/>
      <c r="H29" s="139" t="s">
        <v>15</v>
      </c>
      <c r="I29" s="8" t="s">
        <v>14</v>
      </c>
    </row>
    <row r="30" spans="1:9" ht="20.100000000000001" customHeight="1">
      <c r="A30" s="132" t="s">
        <v>46</v>
      </c>
      <c r="B30" s="143"/>
      <c r="C30" s="143"/>
      <c r="D30" s="143"/>
      <c r="E30" s="143"/>
      <c r="F30" s="143"/>
      <c r="G30" s="143"/>
      <c r="I30" s="8"/>
    </row>
    <row r="31" spans="1:9" ht="30" customHeight="1">
      <c r="A31" s="19">
        <v>24</v>
      </c>
      <c r="B31" s="20" t="s">
        <v>47</v>
      </c>
      <c r="C31" s="21" t="s">
        <v>48</v>
      </c>
      <c r="D31" s="22" t="s">
        <v>49</v>
      </c>
      <c r="E31" s="8" t="s">
        <v>14</v>
      </c>
      <c r="F31" s="23"/>
      <c r="G31" s="24"/>
      <c r="H31" s="139" t="s">
        <v>15</v>
      </c>
      <c r="I31" s="116"/>
    </row>
    <row r="32" spans="1:9" ht="30" customHeight="1">
      <c r="A32" s="19">
        <v>24</v>
      </c>
      <c r="B32" s="20" t="s">
        <v>47</v>
      </c>
      <c r="C32" s="21" t="s">
        <v>48</v>
      </c>
      <c r="D32" s="22" t="s">
        <v>50</v>
      </c>
      <c r="E32" s="8" t="s">
        <v>14</v>
      </c>
      <c r="F32" s="23"/>
      <c r="G32" s="24"/>
      <c r="H32" s="139" t="s">
        <v>15</v>
      </c>
      <c r="I32" s="8" t="s">
        <v>14</v>
      </c>
    </row>
    <row r="33" spans="1:9" ht="30" customHeight="1">
      <c r="A33" s="19">
        <v>25</v>
      </c>
      <c r="B33" s="20" t="s">
        <v>47</v>
      </c>
      <c r="C33" s="21" t="s">
        <v>48</v>
      </c>
      <c r="D33" s="22" t="s">
        <v>51</v>
      </c>
      <c r="E33" s="8" t="s">
        <v>14</v>
      </c>
      <c r="F33" s="23"/>
      <c r="G33" s="24"/>
      <c r="H33" s="139" t="s">
        <v>15</v>
      </c>
      <c r="I33" s="8" t="s">
        <v>14</v>
      </c>
    </row>
    <row r="34" spans="1:9" ht="30" customHeight="1">
      <c r="A34" s="19">
        <v>26</v>
      </c>
      <c r="B34" s="20" t="s">
        <v>47</v>
      </c>
      <c r="C34" s="21" t="s">
        <v>48</v>
      </c>
      <c r="D34" s="22" t="s">
        <v>52</v>
      </c>
      <c r="E34" s="8" t="s">
        <v>14</v>
      </c>
      <c r="F34" s="23"/>
      <c r="G34" s="24"/>
      <c r="H34" s="139" t="s">
        <v>15</v>
      </c>
      <c r="I34" s="8" t="s">
        <v>14</v>
      </c>
    </row>
    <row r="35" spans="1:9" ht="30" customHeight="1">
      <c r="A35" s="19">
        <v>27</v>
      </c>
      <c r="B35" s="20" t="s">
        <v>47</v>
      </c>
      <c r="C35" s="21" t="s">
        <v>53</v>
      </c>
      <c r="D35" s="22" t="s">
        <v>54</v>
      </c>
      <c r="E35" s="8" t="s">
        <v>14</v>
      </c>
      <c r="F35" s="23"/>
      <c r="G35" s="24"/>
      <c r="H35" s="139" t="s">
        <v>15</v>
      </c>
      <c r="I35" s="8" t="s">
        <v>14</v>
      </c>
    </row>
    <row r="36" spans="1:9" ht="30" customHeight="1">
      <c r="A36" s="19">
        <v>28</v>
      </c>
      <c r="B36" s="20" t="s">
        <v>47</v>
      </c>
      <c r="C36" s="21" t="s">
        <v>53</v>
      </c>
      <c r="D36" s="22" t="s">
        <v>55</v>
      </c>
      <c r="E36" s="8" t="s">
        <v>14</v>
      </c>
      <c r="F36" s="23"/>
      <c r="G36" s="24"/>
      <c r="H36" s="139" t="s">
        <v>15</v>
      </c>
      <c r="I36" s="8" t="s">
        <v>14</v>
      </c>
    </row>
    <row r="37" spans="1:9" ht="30" customHeight="1">
      <c r="A37" s="19">
        <v>29</v>
      </c>
      <c r="B37" s="20" t="s">
        <v>47</v>
      </c>
      <c r="C37" s="21" t="s">
        <v>53</v>
      </c>
      <c r="D37" s="22" t="s">
        <v>56</v>
      </c>
      <c r="E37" s="8" t="s">
        <v>14</v>
      </c>
      <c r="F37" s="23"/>
      <c r="G37" s="24"/>
      <c r="H37" s="139" t="s">
        <v>15</v>
      </c>
      <c r="I37" s="8" t="s">
        <v>14</v>
      </c>
    </row>
    <row r="38" spans="1:9" ht="30" customHeight="1">
      <c r="A38" s="19">
        <v>30</v>
      </c>
      <c r="B38" s="20" t="s">
        <v>47</v>
      </c>
      <c r="C38" s="21" t="s">
        <v>57</v>
      </c>
      <c r="D38" s="22" t="s">
        <v>58</v>
      </c>
      <c r="E38" s="8" t="s">
        <v>14</v>
      </c>
      <c r="F38" s="23"/>
      <c r="G38" s="24"/>
      <c r="H38" s="139" t="s">
        <v>15</v>
      </c>
      <c r="I38" s="8" t="s">
        <v>14</v>
      </c>
    </row>
    <row r="39" spans="1:9" ht="30" customHeight="1">
      <c r="A39" s="19">
        <v>31</v>
      </c>
      <c r="B39" s="20" t="s">
        <v>47</v>
      </c>
      <c r="C39" s="21" t="s">
        <v>57</v>
      </c>
      <c r="D39" s="22" t="s">
        <v>59</v>
      </c>
      <c r="E39" s="8" t="s">
        <v>14</v>
      </c>
      <c r="F39" s="23"/>
      <c r="G39" s="24"/>
      <c r="H39" s="139" t="s">
        <v>15</v>
      </c>
      <c r="I39" s="117"/>
    </row>
    <row r="40" spans="1:9" ht="30" customHeight="1">
      <c r="A40" s="19">
        <v>32</v>
      </c>
      <c r="B40" s="20" t="s">
        <v>47</v>
      </c>
      <c r="C40" s="21" t="s">
        <v>57</v>
      </c>
      <c r="D40" s="22" t="s">
        <v>60</v>
      </c>
      <c r="E40" s="8" t="s">
        <v>14</v>
      </c>
      <c r="F40" s="23"/>
      <c r="G40" s="24"/>
      <c r="H40" s="139" t="s">
        <v>15</v>
      </c>
      <c r="I40" s="8" t="s">
        <v>14</v>
      </c>
    </row>
    <row r="41" spans="1:9" ht="30" customHeight="1">
      <c r="A41" s="19">
        <v>33</v>
      </c>
      <c r="B41" s="20" t="s">
        <v>47</v>
      </c>
      <c r="C41" s="21" t="s">
        <v>57</v>
      </c>
      <c r="D41" s="22" t="s">
        <v>61</v>
      </c>
      <c r="E41" s="8" t="s">
        <v>14</v>
      </c>
      <c r="F41" s="23"/>
      <c r="G41" s="24"/>
      <c r="H41" s="139" t="s">
        <v>15</v>
      </c>
      <c r="I41" s="8" t="s">
        <v>14</v>
      </c>
    </row>
    <row r="42" spans="1:9" ht="44.25" customHeight="1">
      <c r="A42" s="19">
        <v>34</v>
      </c>
      <c r="B42" s="20" t="s">
        <v>47</v>
      </c>
      <c r="C42" s="21" t="s">
        <v>57</v>
      </c>
      <c r="D42" s="22" t="s">
        <v>62</v>
      </c>
      <c r="E42" s="8" t="s">
        <v>14</v>
      </c>
      <c r="F42" s="23"/>
      <c r="G42" s="24"/>
      <c r="H42" s="139" t="s">
        <v>15</v>
      </c>
      <c r="I42" s="8" t="s">
        <v>14</v>
      </c>
    </row>
    <row r="43" spans="1:9" ht="20.100000000000001" customHeight="1">
      <c r="A43" s="127" t="s">
        <v>63</v>
      </c>
      <c r="B43" s="144"/>
      <c r="C43" s="144"/>
      <c r="D43" s="144"/>
      <c r="E43" s="144"/>
      <c r="F43" s="144"/>
      <c r="G43" s="144"/>
      <c r="I43" s="8"/>
    </row>
    <row r="44" spans="1:9" ht="30" customHeight="1">
      <c r="A44" s="26">
        <v>35</v>
      </c>
      <c r="B44" s="27" t="s">
        <v>64</v>
      </c>
      <c r="C44" s="28" t="s">
        <v>65</v>
      </c>
      <c r="D44" s="29" t="s">
        <v>66</v>
      </c>
      <c r="E44" s="8" t="s">
        <v>14</v>
      </c>
      <c r="F44" s="30"/>
      <c r="G44" s="31"/>
      <c r="H44" s="139" t="s">
        <v>15</v>
      </c>
      <c r="I44" s="8" t="s">
        <v>14</v>
      </c>
    </row>
    <row r="45" spans="1:9" ht="30" customHeight="1">
      <c r="A45" s="26">
        <v>36</v>
      </c>
      <c r="B45" s="27" t="s">
        <v>64</v>
      </c>
      <c r="C45" s="28" t="s">
        <v>67</v>
      </c>
      <c r="D45" s="29" t="s">
        <v>66</v>
      </c>
      <c r="E45" s="8" t="s">
        <v>14</v>
      </c>
      <c r="F45" s="30"/>
      <c r="G45" s="31"/>
      <c r="H45" s="139" t="s">
        <v>15</v>
      </c>
      <c r="I45" s="8" t="s">
        <v>14</v>
      </c>
    </row>
    <row r="46" spans="1:9" ht="30" customHeight="1">
      <c r="A46" s="26">
        <v>37</v>
      </c>
      <c r="B46" s="27" t="s">
        <v>64</v>
      </c>
      <c r="C46" s="28" t="s">
        <v>65</v>
      </c>
      <c r="D46" s="29" t="s">
        <v>68</v>
      </c>
      <c r="E46" s="8" t="s">
        <v>14</v>
      </c>
      <c r="F46" s="30"/>
      <c r="G46" s="31"/>
      <c r="H46" s="139" t="s">
        <v>15</v>
      </c>
      <c r="I46" s="118"/>
    </row>
    <row r="47" spans="1:9" ht="30" customHeight="1">
      <c r="A47" s="26">
        <v>38</v>
      </c>
      <c r="B47" s="27" t="s">
        <v>64</v>
      </c>
      <c r="C47" s="28" t="s">
        <v>67</v>
      </c>
      <c r="D47" s="29" t="s">
        <v>68</v>
      </c>
      <c r="E47" s="8" t="s">
        <v>14</v>
      </c>
      <c r="F47" s="30"/>
      <c r="G47" s="31"/>
      <c r="H47" s="139" t="s">
        <v>15</v>
      </c>
      <c r="I47" s="8" t="s">
        <v>14</v>
      </c>
    </row>
    <row r="48" spans="1:9" ht="30" customHeight="1">
      <c r="A48" s="26">
        <v>39</v>
      </c>
      <c r="B48" s="27" t="s">
        <v>64</v>
      </c>
      <c r="C48" s="28" t="s">
        <v>65</v>
      </c>
      <c r="D48" s="29" t="s">
        <v>69</v>
      </c>
      <c r="E48" s="8" t="s">
        <v>14</v>
      </c>
      <c r="F48" s="30"/>
      <c r="G48" s="31"/>
      <c r="H48" s="139" t="s">
        <v>15</v>
      </c>
      <c r="I48" s="8" t="s">
        <v>14</v>
      </c>
    </row>
    <row r="49" spans="1:9" ht="30" customHeight="1">
      <c r="A49" s="26">
        <v>40</v>
      </c>
      <c r="B49" s="27" t="s">
        <v>64</v>
      </c>
      <c r="C49" s="28" t="s">
        <v>70</v>
      </c>
      <c r="D49" s="29" t="s">
        <v>71</v>
      </c>
      <c r="E49" s="8" t="s">
        <v>14</v>
      </c>
      <c r="F49" s="30"/>
      <c r="G49" s="31"/>
      <c r="H49" s="139" t="s">
        <v>15</v>
      </c>
      <c r="I49" s="8" t="s">
        <v>14</v>
      </c>
    </row>
    <row r="50" spans="1:9" ht="30" customHeight="1">
      <c r="A50" s="26">
        <v>41</v>
      </c>
      <c r="B50" s="27" t="s">
        <v>64</v>
      </c>
      <c r="C50" s="28" t="s">
        <v>70</v>
      </c>
      <c r="D50" s="29" t="s">
        <v>72</v>
      </c>
      <c r="E50" s="8" t="s">
        <v>14</v>
      </c>
      <c r="F50" s="30"/>
      <c r="G50" s="31"/>
      <c r="H50" s="139" t="s">
        <v>15</v>
      </c>
      <c r="I50" s="8" t="s">
        <v>14</v>
      </c>
    </row>
    <row r="51" spans="1:9" ht="30" customHeight="1">
      <c r="A51" s="26">
        <v>42</v>
      </c>
      <c r="B51" s="27" t="s">
        <v>64</v>
      </c>
      <c r="C51" s="28" t="s">
        <v>70</v>
      </c>
      <c r="D51" s="29" t="s">
        <v>73</v>
      </c>
      <c r="E51" s="8" t="s">
        <v>14</v>
      </c>
      <c r="F51" s="30"/>
      <c r="G51" s="31"/>
      <c r="H51" s="139" t="s">
        <v>15</v>
      </c>
      <c r="I51" s="8" t="s">
        <v>14</v>
      </c>
    </row>
    <row r="52" spans="1:9" ht="30" customHeight="1">
      <c r="A52" s="26">
        <v>43</v>
      </c>
      <c r="B52" s="27" t="s">
        <v>64</v>
      </c>
      <c r="C52" s="28" t="s">
        <v>70</v>
      </c>
      <c r="D52" s="29" t="s">
        <v>74</v>
      </c>
      <c r="E52" s="8" t="s">
        <v>14</v>
      </c>
      <c r="F52" s="30"/>
      <c r="G52" s="31"/>
      <c r="H52" s="139" t="s">
        <v>15</v>
      </c>
      <c r="I52" s="8" t="s">
        <v>14</v>
      </c>
    </row>
    <row r="53" spans="1:9" ht="20.100000000000001" customHeight="1">
      <c r="A53" s="128" t="s">
        <v>75</v>
      </c>
      <c r="B53" s="145"/>
      <c r="C53" s="145"/>
      <c r="D53" s="145"/>
      <c r="E53" s="145"/>
      <c r="F53" s="145"/>
      <c r="G53" s="145"/>
      <c r="H53" s="138" t="s">
        <v>15</v>
      </c>
      <c r="I53" s="8" t="s">
        <v>14</v>
      </c>
    </row>
    <row r="54" spans="1:9" ht="30" customHeight="1">
      <c r="A54" s="33">
        <v>44</v>
      </c>
      <c r="B54" s="34" t="s">
        <v>76</v>
      </c>
      <c r="C54" s="35" t="s">
        <v>77</v>
      </c>
      <c r="D54" s="36" t="s">
        <v>78</v>
      </c>
      <c r="E54" s="8" t="s">
        <v>14</v>
      </c>
      <c r="F54" s="37"/>
      <c r="G54" s="38"/>
      <c r="H54" s="139" t="s">
        <v>15</v>
      </c>
      <c r="I54" s="8" t="s">
        <v>14</v>
      </c>
    </row>
    <row r="55" spans="1:9" ht="30" customHeight="1">
      <c r="A55" s="33">
        <v>45</v>
      </c>
      <c r="B55" s="34" t="s">
        <v>76</v>
      </c>
      <c r="C55" s="35" t="s">
        <v>77</v>
      </c>
      <c r="D55" s="36" t="s">
        <v>79</v>
      </c>
      <c r="E55" s="8" t="s">
        <v>14</v>
      </c>
      <c r="F55" s="37"/>
      <c r="G55" s="38"/>
      <c r="H55" s="139" t="s">
        <v>15</v>
      </c>
      <c r="I55" s="119"/>
    </row>
    <row r="56" spans="1:9" ht="30" customHeight="1">
      <c r="A56" s="33">
        <v>46</v>
      </c>
      <c r="B56" s="34" t="s">
        <v>76</v>
      </c>
      <c r="C56" s="35" t="s">
        <v>80</v>
      </c>
      <c r="D56" s="36" t="s">
        <v>81</v>
      </c>
      <c r="E56" s="8" t="s">
        <v>14</v>
      </c>
      <c r="F56" s="37"/>
      <c r="G56" s="38"/>
      <c r="H56" s="139" t="s">
        <v>15</v>
      </c>
      <c r="I56" s="8" t="s">
        <v>14</v>
      </c>
    </row>
    <row r="57" spans="1:9" ht="30" customHeight="1">
      <c r="A57" s="33">
        <v>47</v>
      </c>
      <c r="B57" s="34" t="s">
        <v>76</v>
      </c>
      <c r="C57" s="35" t="s">
        <v>80</v>
      </c>
      <c r="D57" s="36" t="s">
        <v>82</v>
      </c>
      <c r="E57" s="8" t="s">
        <v>14</v>
      </c>
      <c r="F57" s="37"/>
      <c r="G57" s="38"/>
      <c r="H57" s="139" t="s">
        <v>15</v>
      </c>
      <c r="I57" s="8" t="s">
        <v>14</v>
      </c>
    </row>
    <row r="58" spans="1:9" ht="30" customHeight="1">
      <c r="A58" s="33">
        <v>48</v>
      </c>
      <c r="B58" s="34" t="s">
        <v>76</v>
      </c>
      <c r="C58" s="35" t="s">
        <v>80</v>
      </c>
      <c r="D58" s="36" t="s">
        <v>83</v>
      </c>
      <c r="E58" s="8" t="s">
        <v>14</v>
      </c>
      <c r="F58" s="37"/>
      <c r="G58" s="38"/>
      <c r="H58" s="139" t="s">
        <v>15</v>
      </c>
      <c r="I58" s="8" t="s">
        <v>14</v>
      </c>
    </row>
    <row r="59" spans="1:9" ht="30" customHeight="1">
      <c r="A59" s="33">
        <v>49</v>
      </c>
      <c r="B59" s="34" t="s">
        <v>76</v>
      </c>
      <c r="C59" s="35" t="s">
        <v>84</v>
      </c>
      <c r="D59" s="36" t="s">
        <v>85</v>
      </c>
      <c r="E59" s="8" t="s">
        <v>14</v>
      </c>
      <c r="F59" s="37"/>
      <c r="G59" s="38"/>
      <c r="H59" s="139" t="s">
        <v>15</v>
      </c>
      <c r="I59" s="8" t="s">
        <v>14</v>
      </c>
    </row>
    <row r="60" spans="1:9" ht="30" customHeight="1">
      <c r="A60" s="33">
        <v>50</v>
      </c>
      <c r="B60" s="34" t="s">
        <v>76</v>
      </c>
      <c r="C60" s="35" t="s">
        <v>84</v>
      </c>
      <c r="D60" s="36" t="s">
        <v>86</v>
      </c>
      <c r="E60" s="8" t="s">
        <v>14</v>
      </c>
      <c r="F60" s="37"/>
      <c r="G60" s="38"/>
      <c r="H60" s="139" t="s">
        <v>15</v>
      </c>
      <c r="I60" s="8" t="s">
        <v>14</v>
      </c>
    </row>
    <row r="61" spans="1:9" ht="30" customHeight="1">
      <c r="A61" s="33">
        <v>51</v>
      </c>
      <c r="B61" s="34" t="s">
        <v>76</v>
      </c>
      <c r="C61" s="35" t="s">
        <v>87</v>
      </c>
      <c r="D61" s="36" t="s">
        <v>88</v>
      </c>
      <c r="E61" s="8" t="s">
        <v>14</v>
      </c>
      <c r="F61" s="37"/>
      <c r="G61" s="38"/>
      <c r="H61" s="139" t="s">
        <v>15</v>
      </c>
      <c r="I61" s="8" t="s">
        <v>14</v>
      </c>
    </row>
    <row r="62" spans="1:9" ht="20.100000000000001" customHeight="1">
      <c r="A62" s="124" t="s">
        <v>89</v>
      </c>
      <c r="B62" s="146"/>
      <c r="C62" s="146"/>
      <c r="D62" s="146"/>
      <c r="E62" s="146"/>
      <c r="F62" s="146"/>
      <c r="G62" s="146"/>
      <c r="H62" s="138" t="s">
        <v>15</v>
      </c>
      <c r="I62" s="8" t="s">
        <v>14</v>
      </c>
    </row>
    <row r="63" spans="1:9" ht="30" customHeight="1">
      <c r="A63" s="40">
        <v>52</v>
      </c>
      <c r="B63" s="41" t="s">
        <v>90</v>
      </c>
      <c r="C63" s="42" t="s">
        <v>77</v>
      </c>
      <c r="D63" s="43" t="s">
        <v>91</v>
      </c>
      <c r="E63" s="8" t="s">
        <v>14</v>
      </c>
      <c r="F63" s="44"/>
      <c r="G63" s="45"/>
      <c r="H63" s="139" t="s">
        <v>15</v>
      </c>
      <c r="I63" s="120"/>
    </row>
    <row r="64" spans="1:9" ht="30" customHeight="1">
      <c r="A64" s="40">
        <v>53</v>
      </c>
      <c r="B64" s="41" t="s">
        <v>90</v>
      </c>
      <c r="C64" s="42" t="s">
        <v>77</v>
      </c>
      <c r="D64" s="43" t="s">
        <v>92</v>
      </c>
      <c r="E64" s="8" t="s">
        <v>14</v>
      </c>
      <c r="F64" s="44"/>
      <c r="G64" s="45"/>
      <c r="H64" s="139" t="s">
        <v>15</v>
      </c>
      <c r="I64" s="8" t="s">
        <v>14</v>
      </c>
    </row>
    <row r="65" spans="1:9" ht="30" customHeight="1">
      <c r="A65" s="40">
        <v>54</v>
      </c>
      <c r="B65" s="41" t="s">
        <v>90</v>
      </c>
      <c r="C65" s="42" t="s">
        <v>93</v>
      </c>
      <c r="D65" s="43" t="s">
        <v>94</v>
      </c>
      <c r="E65" s="8" t="s">
        <v>14</v>
      </c>
      <c r="F65" s="44"/>
      <c r="G65" s="45"/>
      <c r="H65" s="139" t="s">
        <v>15</v>
      </c>
      <c r="I65" s="8" t="s">
        <v>14</v>
      </c>
    </row>
    <row r="66" spans="1:9" ht="30" customHeight="1">
      <c r="A66" s="40">
        <v>55</v>
      </c>
      <c r="B66" s="41" t="s">
        <v>90</v>
      </c>
      <c r="C66" s="42" t="s">
        <v>93</v>
      </c>
      <c r="D66" s="43" t="s">
        <v>95</v>
      </c>
      <c r="E66" s="8" t="s">
        <v>14</v>
      </c>
      <c r="F66" s="44"/>
      <c r="G66" s="45"/>
      <c r="H66" s="139" t="s">
        <v>15</v>
      </c>
      <c r="I66" s="8" t="s">
        <v>14</v>
      </c>
    </row>
    <row r="67" spans="1:9" ht="30" customHeight="1">
      <c r="A67" s="40">
        <v>56</v>
      </c>
      <c r="B67" s="41" t="s">
        <v>90</v>
      </c>
      <c r="C67" s="42" t="s">
        <v>93</v>
      </c>
      <c r="D67" s="43" t="s">
        <v>96</v>
      </c>
      <c r="E67" s="8" t="s">
        <v>14</v>
      </c>
      <c r="F67" s="44"/>
      <c r="G67" s="45"/>
      <c r="H67" s="139" t="s">
        <v>15</v>
      </c>
      <c r="I67" s="8" t="s">
        <v>14</v>
      </c>
    </row>
    <row r="68" spans="1:9" ht="30" customHeight="1">
      <c r="A68" s="40">
        <v>57</v>
      </c>
      <c r="B68" s="41" t="s">
        <v>90</v>
      </c>
      <c r="C68" s="42" t="s">
        <v>97</v>
      </c>
      <c r="D68" s="43" t="s">
        <v>98</v>
      </c>
      <c r="E68" s="8" t="s">
        <v>14</v>
      </c>
      <c r="F68" s="44"/>
      <c r="G68" s="45"/>
      <c r="H68" s="139" t="s">
        <v>15</v>
      </c>
      <c r="I68" s="121"/>
    </row>
    <row r="69" spans="1:9" ht="30" customHeight="1">
      <c r="A69" s="40">
        <v>58</v>
      </c>
      <c r="B69" s="41" t="s">
        <v>90</v>
      </c>
      <c r="C69" s="42" t="s">
        <v>97</v>
      </c>
      <c r="D69" s="43" t="s">
        <v>99</v>
      </c>
      <c r="E69" s="8" t="s">
        <v>14</v>
      </c>
      <c r="F69" s="44"/>
      <c r="G69" s="45"/>
      <c r="H69" s="139" t="s">
        <v>15</v>
      </c>
      <c r="I69" s="8" t="s">
        <v>14</v>
      </c>
    </row>
    <row r="70" spans="1:9" ht="30" customHeight="1">
      <c r="A70" s="40">
        <v>59</v>
      </c>
      <c r="B70" s="41" t="s">
        <v>90</v>
      </c>
      <c r="C70" s="42" t="s">
        <v>87</v>
      </c>
      <c r="D70" s="43" t="s">
        <v>100</v>
      </c>
      <c r="E70" s="8" t="s">
        <v>14</v>
      </c>
      <c r="F70" s="44"/>
      <c r="G70" s="45"/>
      <c r="H70" s="139" t="s">
        <v>15</v>
      </c>
      <c r="I70" s="120"/>
    </row>
    <row r="71" spans="1:9" ht="30" customHeight="1">
      <c r="A71" s="40">
        <v>60</v>
      </c>
      <c r="B71" s="41" t="s">
        <v>90</v>
      </c>
      <c r="C71" s="42" t="s">
        <v>87</v>
      </c>
      <c r="D71" s="43" t="s">
        <v>101</v>
      </c>
      <c r="E71" s="8" t="s">
        <v>14</v>
      </c>
      <c r="F71" s="44"/>
      <c r="G71" s="45"/>
      <c r="H71" s="139" t="s">
        <v>15</v>
      </c>
      <c r="I71" s="8" t="s">
        <v>14</v>
      </c>
    </row>
    <row r="72" spans="1:9" ht="20.100000000000001" customHeight="1">
      <c r="A72" s="123" t="s">
        <v>102</v>
      </c>
      <c r="B72" s="147"/>
      <c r="C72" s="147"/>
      <c r="D72" s="147"/>
      <c r="E72" s="147"/>
      <c r="F72" s="147"/>
      <c r="G72" s="147"/>
      <c r="I72" s="8"/>
    </row>
    <row r="73" spans="1:9" ht="30" customHeight="1">
      <c r="A73" s="47">
        <v>61</v>
      </c>
      <c r="B73" s="48" t="s">
        <v>103</v>
      </c>
      <c r="C73" s="49" t="s">
        <v>104</v>
      </c>
      <c r="D73" s="50" t="s">
        <v>105</v>
      </c>
      <c r="E73" s="8" t="s">
        <v>14</v>
      </c>
      <c r="F73" s="51"/>
      <c r="G73" s="52"/>
      <c r="H73" s="139" t="s">
        <v>15</v>
      </c>
      <c r="I73" s="8" t="s">
        <v>14</v>
      </c>
    </row>
    <row r="74" spans="1:9" ht="30" customHeight="1">
      <c r="A74" s="47">
        <v>62</v>
      </c>
      <c r="B74" s="48" t="s">
        <v>103</v>
      </c>
      <c r="C74" s="49" t="s">
        <v>104</v>
      </c>
      <c r="D74" s="50" t="s">
        <v>106</v>
      </c>
      <c r="E74" s="8" t="s">
        <v>14</v>
      </c>
      <c r="F74" s="51"/>
      <c r="G74" s="52"/>
      <c r="H74" s="139" t="s">
        <v>15</v>
      </c>
      <c r="I74" s="8" t="s">
        <v>14</v>
      </c>
    </row>
    <row r="75" spans="1:9" ht="30" customHeight="1">
      <c r="A75" s="47">
        <v>63</v>
      </c>
      <c r="B75" s="48" t="s">
        <v>103</v>
      </c>
      <c r="C75" s="49" t="s">
        <v>104</v>
      </c>
      <c r="D75" s="50" t="s">
        <v>107</v>
      </c>
      <c r="E75" s="8" t="s">
        <v>14</v>
      </c>
      <c r="F75" s="51"/>
      <c r="G75" s="52"/>
      <c r="H75" s="139" t="s">
        <v>15</v>
      </c>
      <c r="I75" s="8" t="s">
        <v>14</v>
      </c>
    </row>
    <row r="76" spans="1:9" ht="30" customHeight="1">
      <c r="A76" s="47">
        <v>64</v>
      </c>
      <c r="B76" s="48" t="s">
        <v>103</v>
      </c>
      <c r="C76" s="49" t="s">
        <v>104</v>
      </c>
      <c r="D76" s="50" t="s">
        <v>108</v>
      </c>
      <c r="E76" s="8" t="s">
        <v>14</v>
      </c>
      <c r="F76" s="51"/>
      <c r="G76" s="52"/>
      <c r="H76" s="139" t="s">
        <v>15</v>
      </c>
      <c r="I76" s="8" t="s">
        <v>14</v>
      </c>
    </row>
    <row r="77" spans="1:9" ht="30" customHeight="1">
      <c r="A77" s="47">
        <v>65</v>
      </c>
      <c r="B77" s="48" t="s">
        <v>103</v>
      </c>
      <c r="C77" s="49" t="s">
        <v>109</v>
      </c>
      <c r="D77" s="50" t="s">
        <v>110</v>
      </c>
      <c r="E77" s="8" t="s">
        <v>14</v>
      </c>
      <c r="F77" s="51"/>
      <c r="G77" s="52"/>
      <c r="H77" s="139" t="s">
        <v>15</v>
      </c>
      <c r="I77" s="8" t="s">
        <v>14</v>
      </c>
    </row>
    <row r="78" spans="1:9" ht="30" customHeight="1">
      <c r="A78" s="47">
        <v>66</v>
      </c>
      <c r="B78" s="48" t="s">
        <v>103</v>
      </c>
      <c r="C78" s="49" t="s">
        <v>109</v>
      </c>
      <c r="D78" s="50" t="s">
        <v>111</v>
      </c>
      <c r="E78" s="8" t="s">
        <v>14</v>
      </c>
      <c r="F78" s="51"/>
      <c r="G78" s="52"/>
      <c r="H78" s="139" t="s">
        <v>15</v>
      </c>
      <c r="I78" s="8" t="s">
        <v>14</v>
      </c>
    </row>
    <row r="79" spans="1:9" ht="30" customHeight="1">
      <c r="A79" s="47">
        <v>67</v>
      </c>
      <c r="B79" s="48" t="s">
        <v>103</v>
      </c>
      <c r="C79" s="49" t="s">
        <v>112</v>
      </c>
      <c r="D79" s="50" t="s">
        <v>113</v>
      </c>
      <c r="E79" s="8" t="s">
        <v>14</v>
      </c>
      <c r="F79" s="51"/>
      <c r="G79" s="52"/>
      <c r="H79" s="139" t="s">
        <v>15</v>
      </c>
      <c r="I79" s="8" t="s">
        <v>14</v>
      </c>
    </row>
    <row r="80" spans="1:9" ht="30" customHeight="1">
      <c r="A80" s="47">
        <v>68</v>
      </c>
      <c r="B80" s="48" t="s">
        <v>103</v>
      </c>
      <c r="C80" s="49" t="s">
        <v>112</v>
      </c>
      <c r="D80" s="50" t="s">
        <v>114</v>
      </c>
      <c r="E80" s="8" t="s">
        <v>14</v>
      </c>
      <c r="F80" s="51"/>
      <c r="G80" s="52"/>
      <c r="H80" s="139" t="s">
        <v>15</v>
      </c>
      <c r="I80" s="8" t="s">
        <v>14</v>
      </c>
    </row>
    <row r="81" spans="1:9" ht="30" customHeight="1">
      <c r="A81" s="47">
        <v>69</v>
      </c>
      <c r="B81" s="48" t="s">
        <v>103</v>
      </c>
      <c r="C81" s="49" t="s">
        <v>112</v>
      </c>
      <c r="D81" s="50" t="s">
        <v>115</v>
      </c>
      <c r="E81" s="8" t="s">
        <v>14</v>
      </c>
      <c r="F81" s="51"/>
      <c r="G81" s="52"/>
      <c r="H81" s="139" t="s">
        <v>15</v>
      </c>
      <c r="I81" s="8" t="s">
        <v>14</v>
      </c>
    </row>
    <row r="82" spans="1:9" ht="20.100000000000001" customHeight="1">
      <c r="A82" s="130" t="s">
        <v>116</v>
      </c>
      <c r="B82" s="148"/>
      <c r="C82" s="148"/>
      <c r="D82" s="148"/>
      <c r="E82" s="148"/>
      <c r="F82" s="148"/>
      <c r="G82" s="148"/>
      <c r="I82" s="8"/>
    </row>
    <row r="83" spans="1:9" ht="30" customHeight="1">
      <c r="A83" s="54">
        <v>70</v>
      </c>
      <c r="B83" s="55" t="s">
        <v>117</v>
      </c>
      <c r="C83" s="56" t="s">
        <v>118</v>
      </c>
      <c r="D83" s="57" t="s">
        <v>119</v>
      </c>
      <c r="E83" s="8" t="s">
        <v>14</v>
      </c>
      <c r="F83" s="58"/>
      <c r="G83" s="59"/>
      <c r="H83" s="139" t="s">
        <v>15</v>
      </c>
      <c r="I83" s="8" t="s">
        <v>14</v>
      </c>
    </row>
    <row r="84" spans="1:9" ht="30" customHeight="1">
      <c r="A84" s="54">
        <v>71</v>
      </c>
      <c r="B84" s="55" t="s">
        <v>117</v>
      </c>
      <c r="C84" s="56" t="s">
        <v>118</v>
      </c>
      <c r="D84" s="57" t="s">
        <v>120</v>
      </c>
      <c r="E84" s="8" t="s">
        <v>14</v>
      </c>
      <c r="F84" s="58"/>
      <c r="G84" s="59"/>
      <c r="H84" s="139" t="s">
        <v>15</v>
      </c>
      <c r="I84" s="8" t="s">
        <v>14</v>
      </c>
    </row>
    <row r="85" spans="1:9" ht="30" customHeight="1">
      <c r="A85" s="54">
        <v>72</v>
      </c>
      <c r="B85" s="55" t="s">
        <v>117</v>
      </c>
      <c r="C85" s="56" t="s">
        <v>118</v>
      </c>
      <c r="D85" s="57" t="s">
        <v>121</v>
      </c>
      <c r="E85" s="8" t="s">
        <v>14</v>
      </c>
      <c r="F85" s="58"/>
      <c r="G85" s="59"/>
      <c r="H85" s="139" t="s">
        <v>15</v>
      </c>
      <c r="I85" s="8" t="s">
        <v>14</v>
      </c>
    </row>
    <row r="86" spans="1:9" ht="30" customHeight="1">
      <c r="A86" s="54">
        <v>73</v>
      </c>
      <c r="B86" s="55" t="s">
        <v>117</v>
      </c>
      <c r="C86" s="56" t="s">
        <v>118</v>
      </c>
      <c r="D86" s="57" t="s">
        <v>122</v>
      </c>
      <c r="E86" s="8" t="s">
        <v>14</v>
      </c>
      <c r="F86" s="58"/>
      <c r="G86" s="59"/>
      <c r="H86" s="139" t="s">
        <v>15</v>
      </c>
      <c r="I86" s="8" t="s">
        <v>14</v>
      </c>
    </row>
    <row r="87" spans="1:9" ht="30" customHeight="1">
      <c r="A87" s="54">
        <v>74</v>
      </c>
      <c r="B87" s="55" t="s">
        <v>117</v>
      </c>
      <c r="C87" s="56" t="s">
        <v>118</v>
      </c>
      <c r="D87" s="57" t="s">
        <v>123</v>
      </c>
      <c r="E87" s="8" t="s">
        <v>14</v>
      </c>
      <c r="F87" s="58"/>
      <c r="G87" s="59"/>
      <c r="H87" s="139" t="s">
        <v>15</v>
      </c>
      <c r="I87" s="8" t="s">
        <v>14</v>
      </c>
    </row>
    <row r="88" spans="1:9" ht="30" customHeight="1">
      <c r="A88" s="54">
        <v>75</v>
      </c>
      <c r="B88" s="55" t="s">
        <v>117</v>
      </c>
      <c r="C88" s="56" t="s">
        <v>118</v>
      </c>
      <c r="D88" s="57" t="s">
        <v>124</v>
      </c>
      <c r="E88" s="8" t="s">
        <v>14</v>
      </c>
      <c r="F88" s="58"/>
      <c r="G88" s="59"/>
      <c r="H88" s="139" t="s">
        <v>15</v>
      </c>
      <c r="I88" s="8" t="s">
        <v>14</v>
      </c>
    </row>
    <row r="89" spans="1:9" ht="30" customHeight="1">
      <c r="A89" s="54">
        <v>76</v>
      </c>
      <c r="B89" s="55" t="s">
        <v>117</v>
      </c>
      <c r="C89" s="56" t="s">
        <v>118</v>
      </c>
      <c r="D89" s="57" t="s">
        <v>125</v>
      </c>
      <c r="E89" s="8" t="s">
        <v>14</v>
      </c>
      <c r="F89" s="58"/>
      <c r="G89" s="59"/>
      <c r="H89" s="139" t="s">
        <v>15</v>
      </c>
      <c r="I89" s="8" t="s">
        <v>14</v>
      </c>
    </row>
    <row r="90" spans="1:9" ht="30" customHeight="1">
      <c r="A90" s="54">
        <v>77</v>
      </c>
      <c r="B90" s="55" t="s">
        <v>117</v>
      </c>
      <c r="C90" s="56" t="s">
        <v>118</v>
      </c>
      <c r="D90" s="57" t="s">
        <v>126</v>
      </c>
      <c r="E90" s="8" t="s">
        <v>14</v>
      </c>
      <c r="F90" s="58"/>
      <c r="G90" s="59"/>
      <c r="H90" s="139" t="s">
        <v>15</v>
      </c>
      <c r="I90" s="8" t="s">
        <v>14</v>
      </c>
    </row>
    <row r="91" spans="1:9" ht="30" customHeight="1">
      <c r="A91" s="54">
        <v>78</v>
      </c>
      <c r="B91" s="55" t="s">
        <v>117</v>
      </c>
      <c r="C91" s="56" t="s">
        <v>127</v>
      </c>
      <c r="D91" s="57" t="s">
        <v>128</v>
      </c>
      <c r="E91" s="8" t="s">
        <v>14</v>
      </c>
      <c r="F91" s="58"/>
      <c r="G91" s="59"/>
      <c r="H91" s="139" t="s">
        <v>15</v>
      </c>
      <c r="I91" s="8" t="s">
        <v>14</v>
      </c>
    </row>
    <row r="92" spans="1:9" ht="30" customHeight="1">
      <c r="A92" s="54">
        <v>79</v>
      </c>
      <c r="B92" s="55" t="s">
        <v>117</v>
      </c>
      <c r="C92" s="56" t="s">
        <v>127</v>
      </c>
      <c r="D92" s="57" t="s">
        <v>129</v>
      </c>
      <c r="E92" s="8" t="s">
        <v>14</v>
      </c>
      <c r="F92" s="58"/>
      <c r="G92" s="59"/>
      <c r="H92" s="139" t="s">
        <v>15</v>
      </c>
      <c r="I92" s="8" t="s">
        <v>14</v>
      </c>
    </row>
    <row r="93" spans="1:9" ht="30" customHeight="1">
      <c r="A93" s="54">
        <v>80</v>
      </c>
      <c r="B93" s="55" t="s">
        <v>117</v>
      </c>
      <c r="C93" s="56" t="s">
        <v>127</v>
      </c>
      <c r="D93" s="57" t="s">
        <v>130</v>
      </c>
      <c r="E93" s="8" t="s">
        <v>14</v>
      </c>
      <c r="F93" s="58"/>
      <c r="G93" s="59"/>
      <c r="H93" s="139" t="s">
        <v>15</v>
      </c>
      <c r="I93" s="8" t="s">
        <v>14</v>
      </c>
    </row>
    <row r="94" spans="1:9" ht="30" customHeight="1">
      <c r="A94" s="54">
        <v>81</v>
      </c>
      <c r="B94" s="55" t="s">
        <v>117</v>
      </c>
      <c r="C94" s="56" t="s">
        <v>127</v>
      </c>
      <c r="D94" s="57" t="s">
        <v>131</v>
      </c>
      <c r="E94" s="8" t="s">
        <v>14</v>
      </c>
      <c r="F94" s="58"/>
      <c r="G94" s="59"/>
      <c r="H94" s="139" t="s">
        <v>15</v>
      </c>
      <c r="I94" s="8" t="s">
        <v>14</v>
      </c>
    </row>
    <row r="95" spans="1:9" ht="30" customHeight="1">
      <c r="A95" s="54">
        <v>82</v>
      </c>
      <c r="B95" s="55" t="s">
        <v>117</v>
      </c>
      <c r="C95" s="56" t="s">
        <v>132</v>
      </c>
      <c r="D95" s="57" t="s">
        <v>133</v>
      </c>
      <c r="E95" s="8" t="s">
        <v>14</v>
      </c>
      <c r="F95" s="58"/>
      <c r="G95" s="59"/>
      <c r="H95" s="139" t="s">
        <v>15</v>
      </c>
      <c r="I95" s="8" t="s">
        <v>14</v>
      </c>
    </row>
    <row r="96" spans="1:9" ht="30" customHeight="1">
      <c r="A96" s="54">
        <v>83</v>
      </c>
      <c r="B96" s="55" t="s">
        <v>117</v>
      </c>
      <c r="C96" s="56" t="s">
        <v>132</v>
      </c>
      <c r="D96" s="57" t="s">
        <v>134</v>
      </c>
      <c r="E96" s="8" t="s">
        <v>14</v>
      </c>
      <c r="F96" s="58"/>
      <c r="G96" s="59"/>
      <c r="H96" s="139" t="s">
        <v>15</v>
      </c>
      <c r="I96" s="8" t="s">
        <v>14</v>
      </c>
    </row>
    <row r="97" spans="1:9" ht="30" customHeight="1">
      <c r="A97" s="54">
        <v>84</v>
      </c>
      <c r="B97" s="55" t="s">
        <v>117</v>
      </c>
      <c r="C97" s="56" t="s">
        <v>132</v>
      </c>
      <c r="D97" s="57" t="s">
        <v>135</v>
      </c>
      <c r="E97" s="8" t="s">
        <v>14</v>
      </c>
      <c r="F97" s="58"/>
      <c r="G97" s="59"/>
      <c r="H97" s="139" t="s">
        <v>15</v>
      </c>
      <c r="I97" s="8" t="s">
        <v>14</v>
      </c>
    </row>
    <row r="98" spans="1:9" ht="30" customHeight="1">
      <c r="A98" s="54">
        <v>85</v>
      </c>
      <c r="B98" s="55" t="s">
        <v>117</v>
      </c>
      <c r="C98" s="56" t="s">
        <v>132</v>
      </c>
      <c r="D98" s="57" t="s">
        <v>136</v>
      </c>
      <c r="E98" s="8" t="s">
        <v>14</v>
      </c>
      <c r="F98" s="58"/>
      <c r="G98" s="59"/>
      <c r="H98" s="139" t="s">
        <v>15</v>
      </c>
      <c r="I98" s="8" t="s">
        <v>14</v>
      </c>
    </row>
    <row r="99" spans="1:9" ht="30" customHeight="1">
      <c r="A99" s="54">
        <v>86</v>
      </c>
      <c r="B99" s="55" t="s">
        <v>117</v>
      </c>
      <c r="C99" s="56" t="s">
        <v>137</v>
      </c>
      <c r="D99" s="57" t="s">
        <v>138</v>
      </c>
      <c r="E99" s="8" t="s">
        <v>14</v>
      </c>
      <c r="F99" s="58"/>
      <c r="G99" s="59"/>
      <c r="H99" s="139" t="s">
        <v>15</v>
      </c>
      <c r="I99" s="8" t="s">
        <v>14</v>
      </c>
    </row>
    <row r="100" spans="1:9" ht="30" customHeight="1">
      <c r="A100" s="54">
        <v>87</v>
      </c>
      <c r="B100" s="55" t="s">
        <v>117</v>
      </c>
      <c r="C100" s="56" t="s">
        <v>137</v>
      </c>
      <c r="D100" s="57" t="s">
        <v>139</v>
      </c>
      <c r="E100" s="8" t="s">
        <v>14</v>
      </c>
      <c r="F100" s="58"/>
      <c r="G100" s="59"/>
      <c r="H100" s="139" t="s">
        <v>15</v>
      </c>
      <c r="I100" s="8" t="s">
        <v>14</v>
      </c>
    </row>
    <row r="101" spans="1:9" ht="30" customHeight="1">
      <c r="A101" s="54">
        <v>88</v>
      </c>
      <c r="B101" s="55" t="s">
        <v>117</v>
      </c>
      <c r="C101" s="56" t="s">
        <v>137</v>
      </c>
      <c r="D101" s="57" t="s">
        <v>140</v>
      </c>
      <c r="E101" s="8" t="s">
        <v>14</v>
      </c>
      <c r="F101" s="58"/>
      <c r="G101" s="59"/>
      <c r="H101" s="139" t="s">
        <v>15</v>
      </c>
      <c r="I101" s="8" t="s">
        <v>14</v>
      </c>
    </row>
    <row r="102" spans="1:9" ht="20.100000000000001" customHeight="1">
      <c r="A102" s="122" t="s">
        <v>141</v>
      </c>
      <c r="B102" s="149"/>
      <c r="C102" s="149"/>
      <c r="D102" s="149"/>
      <c r="E102" s="149"/>
      <c r="F102" s="149"/>
      <c r="G102" s="149"/>
      <c r="I102" s="8"/>
    </row>
    <row r="103" spans="1:9" ht="30" customHeight="1">
      <c r="A103" s="61">
        <v>89</v>
      </c>
      <c r="B103" s="62" t="s">
        <v>142</v>
      </c>
      <c r="C103" s="63" t="s">
        <v>143</v>
      </c>
      <c r="D103" s="64" t="s">
        <v>144</v>
      </c>
      <c r="E103" s="8" t="s">
        <v>14</v>
      </c>
      <c r="F103" s="65"/>
      <c r="G103" s="66"/>
      <c r="H103" s="139" t="s">
        <v>15</v>
      </c>
      <c r="I103" s="8" t="s">
        <v>14</v>
      </c>
    </row>
    <row r="104" spans="1:9" ht="30" customHeight="1">
      <c r="A104" s="61">
        <v>90</v>
      </c>
      <c r="B104" s="62" t="s">
        <v>142</v>
      </c>
      <c r="C104" s="63" t="s">
        <v>143</v>
      </c>
      <c r="D104" s="64" t="s">
        <v>145</v>
      </c>
      <c r="E104" s="8" t="s">
        <v>14</v>
      </c>
      <c r="F104" s="65"/>
      <c r="G104" s="66"/>
      <c r="H104" s="139" t="s">
        <v>15</v>
      </c>
      <c r="I104" s="8" t="s">
        <v>14</v>
      </c>
    </row>
    <row r="105" spans="1:9" ht="30" customHeight="1">
      <c r="A105" s="61">
        <v>91</v>
      </c>
      <c r="B105" s="62" t="s">
        <v>142</v>
      </c>
      <c r="C105" s="63" t="s">
        <v>143</v>
      </c>
      <c r="D105" s="64" t="s">
        <v>146</v>
      </c>
      <c r="E105" s="8" t="s">
        <v>14</v>
      </c>
      <c r="F105" s="65"/>
      <c r="G105" s="66"/>
      <c r="H105" s="139" t="s">
        <v>15</v>
      </c>
      <c r="I105" s="8" t="s">
        <v>14</v>
      </c>
    </row>
    <row r="106" spans="1:9" ht="30" customHeight="1">
      <c r="A106" s="61">
        <v>92</v>
      </c>
      <c r="B106" s="62" t="s">
        <v>142</v>
      </c>
      <c r="C106" s="63" t="s">
        <v>147</v>
      </c>
      <c r="D106" s="64" t="s">
        <v>148</v>
      </c>
      <c r="E106" s="8" t="s">
        <v>14</v>
      </c>
      <c r="F106" s="65"/>
      <c r="G106" s="66"/>
      <c r="H106" s="139" t="s">
        <v>15</v>
      </c>
      <c r="I106" s="8" t="s">
        <v>14</v>
      </c>
    </row>
    <row r="107" spans="1:9" ht="30" customHeight="1">
      <c r="A107" s="61">
        <v>93</v>
      </c>
      <c r="B107" s="62" t="s">
        <v>142</v>
      </c>
      <c r="C107" s="63" t="s">
        <v>147</v>
      </c>
      <c r="D107" s="64" t="s">
        <v>149</v>
      </c>
      <c r="E107" s="8" t="s">
        <v>14</v>
      </c>
      <c r="F107" s="65"/>
      <c r="G107" s="66"/>
      <c r="H107" s="139" t="s">
        <v>15</v>
      </c>
      <c r="I107" s="8" t="s">
        <v>14</v>
      </c>
    </row>
    <row r="108" spans="1:9" ht="30" customHeight="1">
      <c r="A108" s="61">
        <v>94</v>
      </c>
      <c r="B108" s="62" t="s">
        <v>142</v>
      </c>
      <c r="C108" s="63" t="s">
        <v>147</v>
      </c>
      <c r="D108" s="64" t="s">
        <v>150</v>
      </c>
      <c r="E108" s="8" t="s">
        <v>14</v>
      </c>
      <c r="F108" s="65"/>
      <c r="G108" s="66"/>
      <c r="H108" s="139" t="s">
        <v>15</v>
      </c>
      <c r="I108" s="8" t="s">
        <v>14</v>
      </c>
    </row>
    <row r="109" spans="1:9" ht="30" customHeight="1">
      <c r="A109" s="61">
        <v>95</v>
      </c>
      <c r="B109" s="62" t="s">
        <v>142</v>
      </c>
      <c r="C109" s="63" t="s">
        <v>151</v>
      </c>
      <c r="D109" s="64" t="s">
        <v>152</v>
      </c>
      <c r="E109" s="8" t="s">
        <v>14</v>
      </c>
      <c r="F109" s="65"/>
      <c r="G109" s="66"/>
      <c r="H109" s="139" t="s">
        <v>15</v>
      </c>
      <c r="I109" s="8" t="s">
        <v>14</v>
      </c>
    </row>
    <row r="110" spans="1:9" ht="20.100000000000001" customHeight="1">
      <c r="A110" s="129" t="s">
        <v>153</v>
      </c>
      <c r="B110" s="150"/>
      <c r="C110" s="150"/>
      <c r="D110" s="150"/>
      <c r="E110" s="150"/>
      <c r="F110" s="150"/>
      <c r="G110" s="150"/>
      <c r="I110" s="8"/>
    </row>
    <row r="111" spans="1:9" ht="30" customHeight="1">
      <c r="A111" s="68">
        <v>96</v>
      </c>
      <c r="B111" s="69" t="s">
        <v>154</v>
      </c>
      <c r="C111" s="70" t="s">
        <v>155</v>
      </c>
      <c r="D111" s="71" t="s">
        <v>156</v>
      </c>
      <c r="E111" s="8" t="s">
        <v>14</v>
      </c>
      <c r="F111" s="72"/>
      <c r="G111" s="73"/>
      <c r="H111" s="139" t="s">
        <v>15</v>
      </c>
      <c r="I111" s="8" t="s">
        <v>14</v>
      </c>
    </row>
    <row r="112" spans="1:9" ht="30" customHeight="1">
      <c r="A112" s="68">
        <v>97</v>
      </c>
      <c r="B112" s="69" t="s">
        <v>154</v>
      </c>
      <c r="C112" s="70" t="s">
        <v>155</v>
      </c>
      <c r="D112" s="71" t="s">
        <v>157</v>
      </c>
      <c r="E112" s="8" t="s">
        <v>14</v>
      </c>
      <c r="F112" s="72"/>
      <c r="G112" s="73"/>
      <c r="H112" s="139" t="s">
        <v>15</v>
      </c>
      <c r="I112" s="8" t="s">
        <v>14</v>
      </c>
    </row>
    <row r="113" spans="1:9" ht="30" customHeight="1">
      <c r="A113" s="68">
        <v>98</v>
      </c>
      <c r="B113" s="69" t="s">
        <v>154</v>
      </c>
      <c r="C113" s="70" t="s">
        <v>155</v>
      </c>
      <c r="D113" s="71" t="s">
        <v>158</v>
      </c>
      <c r="E113" s="8" t="s">
        <v>14</v>
      </c>
      <c r="F113" s="72"/>
      <c r="G113" s="73"/>
      <c r="H113" s="139" t="s">
        <v>15</v>
      </c>
      <c r="I113" s="8" t="s">
        <v>14</v>
      </c>
    </row>
    <row r="114" spans="1:9" ht="30" customHeight="1">
      <c r="A114" s="68">
        <v>99</v>
      </c>
      <c r="B114" s="69" t="s">
        <v>154</v>
      </c>
      <c r="C114" s="70" t="s">
        <v>155</v>
      </c>
      <c r="D114" s="71" t="s">
        <v>159</v>
      </c>
      <c r="E114" s="8" t="s">
        <v>14</v>
      </c>
      <c r="F114" s="72"/>
      <c r="G114" s="73"/>
      <c r="H114" s="139" t="s">
        <v>15</v>
      </c>
      <c r="I114" s="8" t="s">
        <v>14</v>
      </c>
    </row>
    <row r="115" spans="1:9" ht="30" customHeight="1">
      <c r="A115" s="68">
        <v>100</v>
      </c>
      <c r="B115" s="69" t="s">
        <v>154</v>
      </c>
      <c r="C115" s="70" t="s">
        <v>160</v>
      </c>
      <c r="D115" s="71" t="s">
        <v>161</v>
      </c>
      <c r="E115" s="8" t="s">
        <v>14</v>
      </c>
      <c r="F115" s="72"/>
      <c r="G115" s="73"/>
      <c r="H115" s="139" t="s">
        <v>15</v>
      </c>
      <c r="I115" s="8" t="s">
        <v>14</v>
      </c>
    </row>
    <row r="116" spans="1:9" ht="30" customHeight="1">
      <c r="A116" s="68">
        <v>101</v>
      </c>
      <c r="B116" s="69" t="s">
        <v>154</v>
      </c>
      <c r="C116" s="70" t="s">
        <v>160</v>
      </c>
      <c r="D116" s="71" t="s">
        <v>162</v>
      </c>
      <c r="E116" s="8" t="s">
        <v>14</v>
      </c>
      <c r="F116" s="72"/>
      <c r="G116" s="73"/>
      <c r="H116" s="139" t="s">
        <v>15</v>
      </c>
      <c r="I116" s="8" t="s">
        <v>14</v>
      </c>
    </row>
    <row r="117" spans="1:9" ht="30" customHeight="1">
      <c r="A117" s="68">
        <v>102</v>
      </c>
      <c r="B117" s="69" t="s">
        <v>154</v>
      </c>
      <c r="C117" s="70" t="s">
        <v>163</v>
      </c>
      <c r="D117" s="71" t="s">
        <v>164</v>
      </c>
      <c r="E117" s="8" t="s">
        <v>14</v>
      </c>
      <c r="F117" s="72"/>
      <c r="G117" s="73"/>
      <c r="H117" s="139" t="s">
        <v>15</v>
      </c>
      <c r="I117" s="8" t="s">
        <v>14</v>
      </c>
    </row>
    <row r="118" spans="1:9" ht="30" customHeight="1">
      <c r="A118" s="68">
        <v>103</v>
      </c>
      <c r="B118" s="69" t="s">
        <v>154</v>
      </c>
      <c r="C118" s="70" t="s">
        <v>163</v>
      </c>
      <c r="D118" s="71" t="s">
        <v>165</v>
      </c>
      <c r="E118" s="8" t="s">
        <v>14</v>
      </c>
      <c r="F118" s="72"/>
      <c r="G118" s="73"/>
      <c r="H118" s="139" t="s">
        <v>15</v>
      </c>
      <c r="I118" s="8" t="s">
        <v>14</v>
      </c>
    </row>
    <row r="119" spans="1:9" ht="20.100000000000001" customHeight="1">
      <c r="A119" s="123" t="s">
        <v>166</v>
      </c>
      <c r="B119" s="147"/>
      <c r="C119" s="147"/>
      <c r="D119" s="147"/>
      <c r="E119" s="147"/>
      <c r="F119" s="147"/>
      <c r="G119" s="147"/>
      <c r="I119" s="8"/>
    </row>
    <row r="120" spans="1:9" ht="30" customHeight="1">
      <c r="A120" s="47">
        <v>104</v>
      </c>
      <c r="B120" s="48" t="s">
        <v>167</v>
      </c>
      <c r="C120" s="49" t="s">
        <v>168</v>
      </c>
      <c r="D120" s="50" t="s">
        <v>169</v>
      </c>
      <c r="E120" s="8" t="s">
        <v>14</v>
      </c>
      <c r="F120" s="51"/>
      <c r="G120" s="52"/>
      <c r="H120" s="139" t="s">
        <v>15</v>
      </c>
      <c r="I120" s="8" t="s">
        <v>14</v>
      </c>
    </row>
    <row r="121" spans="1:9" ht="30" customHeight="1">
      <c r="A121" s="47">
        <v>105</v>
      </c>
      <c r="B121" s="48" t="s">
        <v>167</v>
      </c>
      <c r="C121" s="49" t="s">
        <v>168</v>
      </c>
      <c r="D121" s="50" t="s">
        <v>170</v>
      </c>
      <c r="E121" s="8" t="s">
        <v>14</v>
      </c>
      <c r="F121" s="51"/>
      <c r="G121" s="52"/>
      <c r="H121" s="139" t="s">
        <v>15</v>
      </c>
      <c r="I121" s="8" t="s">
        <v>14</v>
      </c>
    </row>
    <row r="122" spans="1:9" ht="30" customHeight="1">
      <c r="A122" s="47">
        <v>106</v>
      </c>
      <c r="B122" s="48" t="s">
        <v>167</v>
      </c>
      <c r="C122" s="49" t="s">
        <v>168</v>
      </c>
      <c r="D122" s="50" t="s">
        <v>171</v>
      </c>
      <c r="E122" s="8" t="s">
        <v>14</v>
      </c>
      <c r="F122" s="51"/>
      <c r="G122" s="52"/>
      <c r="H122" s="139" t="s">
        <v>15</v>
      </c>
      <c r="I122" s="8" t="s">
        <v>14</v>
      </c>
    </row>
    <row r="123" spans="1:9" ht="30" customHeight="1">
      <c r="A123" s="47">
        <v>107</v>
      </c>
      <c r="B123" s="48" t="s">
        <v>167</v>
      </c>
      <c r="C123" s="49" t="s">
        <v>172</v>
      </c>
      <c r="D123" s="50" t="s">
        <v>173</v>
      </c>
      <c r="E123" s="8" t="s">
        <v>14</v>
      </c>
      <c r="F123" s="51"/>
      <c r="G123" s="52"/>
      <c r="H123" s="139" t="s">
        <v>15</v>
      </c>
      <c r="I123" s="8" t="s">
        <v>14</v>
      </c>
    </row>
    <row r="124" spans="1:9" ht="20.100000000000001" customHeight="1">
      <c r="A124" s="128" t="s">
        <v>174</v>
      </c>
      <c r="B124" s="145"/>
      <c r="C124" s="145"/>
      <c r="D124" s="145"/>
      <c r="E124" s="145"/>
      <c r="F124" s="145"/>
      <c r="G124" s="145"/>
      <c r="I124" s="8"/>
    </row>
    <row r="125" spans="1:9" ht="30" customHeight="1">
      <c r="A125" s="33">
        <v>108</v>
      </c>
      <c r="B125" s="34" t="s">
        <v>175</v>
      </c>
      <c r="C125" s="35" t="s">
        <v>176</v>
      </c>
      <c r="D125" s="36" t="s">
        <v>177</v>
      </c>
      <c r="E125" s="8" t="s">
        <v>14</v>
      </c>
      <c r="F125" s="37"/>
      <c r="G125" s="38"/>
      <c r="H125" s="139" t="s">
        <v>15</v>
      </c>
      <c r="I125" s="8" t="s">
        <v>14</v>
      </c>
    </row>
    <row r="126" spans="1:9" ht="30" customHeight="1">
      <c r="A126" s="33">
        <v>109</v>
      </c>
      <c r="B126" s="34" t="s">
        <v>175</v>
      </c>
      <c r="C126" s="35" t="s">
        <v>176</v>
      </c>
      <c r="D126" s="36" t="s">
        <v>178</v>
      </c>
      <c r="E126" s="8" t="s">
        <v>14</v>
      </c>
      <c r="F126" s="37"/>
      <c r="G126" s="38"/>
      <c r="H126" s="139" t="s">
        <v>15</v>
      </c>
      <c r="I126" s="8" t="s">
        <v>14</v>
      </c>
    </row>
    <row r="127" spans="1:9" ht="30" customHeight="1">
      <c r="A127" s="33">
        <v>110</v>
      </c>
      <c r="B127" s="34" t="s">
        <v>175</v>
      </c>
      <c r="C127" s="35" t="s">
        <v>176</v>
      </c>
      <c r="D127" s="36" t="s">
        <v>179</v>
      </c>
      <c r="E127" s="8" t="s">
        <v>14</v>
      </c>
      <c r="F127" s="37"/>
      <c r="G127" s="38"/>
      <c r="H127" s="139" t="s">
        <v>15</v>
      </c>
      <c r="I127" s="8" t="s">
        <v>14</v>
      </c>
    </row>
    <row r="128" spans="1:9" ht="30" customHeight="1">
      <c r="A128" s="33">
        <v>111</v>
      </c>
      <c r="B128" s="34" t="s">
        <v>175</v>
      </c>
      <c r="C128" s="35" t="s">
        <v>180</v>
      </c>
      <c r="D128" s="36" t="s">
        <v>181</v>
      </c>
      <c r="E128" s="8" t="s">
        <v>14</v>
      </c>
      <c r="F128" s="37"/>
      <c r="G128" s="38"/>
      <c r="H128" s="139" t="s">
        <v>15</v>
      </c>
      <c r="I128" s="8" t="s">
        <v>14</v>
      </c>
    </row>
    <row r="129" spans="1:9" ht="30" customHeight="1">
      <c r="A129" s="33">
        <v>112</v>
      </c>
      <c r="B129" s="34" t="s">
        <v>175</v>
      </c>
      <c r="C129" s="35" t="s">
        <v>180</v>
      </c>
      <c r="D129" s="36" t="s">
        <v>182</v>
      </c>
      <c r="E129" s="8" t="s">
        <v>14</v>
      </c>
      <c r="F129" s="37"/>
      <c r="G129" s="38"/>
      <c r="H129" s="139" t="s">
        <v>15</v>
      </c>
      <c r="I129" s="8" t="s">
        <v>14</v>
      </c>
    </row>
    <row r="130" spans="1:9" ht="30" customHeight="1">
      <c r="A130" s="33">
        <v>113</v>
      </c>
      <c r="B130" s="34" t="s">
        <v>175</v>
      </c>
      <c r="C130" s="35" t="s">
        <v>180</v>
      </c>
      <c r="D130" s="36" t="s">
        <v>183</v>
      </c>
      <c r="E130" s="8" t="s">
        <v>14</v>
      </c>
      <c r="F130" s="37"/>
      <c r="G130" s="38"/>
      <c r="H130" s="139" t="s">
        <v>15</v>
      </c>
      <c r="I130" s="8" t="s">
        <v>14</v>
      </c>
    </row>
    <row r="131" spans="1:9" ht="30" customHeight="1">
      <c r="A131" s="33">
        <v>114</v>
      </c>
      <c r="B131" s="34" t="s">
        <v>175</v>
      </c>
      <c r="C131" s="35" t="s">
        <v>180</v>
      </c>
      <c r="D131" s="36" t="s">
        <v>184</v>
      </c>
      <c r="E131" s="8" t="s">
        <v>14</v>
      </c>
      <c r="F131" s="37"/>
      <c r="G131" s="38"/>
      <c r="H131" s="139" t="s">
        <v>15</v>
      </c>
      <c r="I131" s="8" t="s">
        <v>14</v>
      </c>
    </row>
    <row r="132" spans="1:9" ht="30" customHeight="1">
      <c r="A132" s="123" t="s">
        <v>185</v>
      </c>
      <c r="B132" s="147"/>
      <c r="C132" s="147"/>
      <c r="D132" s="147"/>
      <c r="E132" s="147"/>
      <c r="F132" s="147"/>
      <c r="G132" s="147"/>
      <c r="I132" s="8"/>
    </row>
    <row r="133" spans="1:9" ht="30" customHeight="1">
      <c r="A133" s="47">
        <v>115</v>
      </c>
      <c r="B133" s="48" t="s">
        <v>185</v>
      </c>
      <c r="C133" s="49" t="s">
        <v>186</v>
      </c>
      <c r="D133" s="50" t="s">
        <v>187</v>
      </c>
      <c r="E133" s="8" t="s">
        <v>14</v>
      </c>
      <c r="F133" s="51"/>
      <c r="G133" s="52"/>
      <c r="H133" s="139" t="s">
        <v>15</v>
      </c>
      <c r="I133" s="8" t="s">
        <v>14</v>
      </c>
    </row>
    <row r="134" spans="1:9" ht="30" customHeight="1">
      <c r="A134" s="47">
        <v>116</v>
      </c>
      <c r="B134" s="48" t="s">
        <v>185</v>
      </c>
      <c r="C134" s="49" t="s">
        <v>186</v>
      </c>
      <c r="D134" s="50" t="s">
        <v>188</v>
      </c>
      <c r="E134" s="8" t="s">
        <v>14</v>
      </c>
      <c r="F134" s="51"/>
      <c r="G134" s="52"/>
      <c r="H134" s="139" t="s">
        <v>15</v>
      </c>
      <c r="I134" s="8" t="s">
        <v>14</v>
      </c>
    </row>
    <row r="135" spans="1:9">
      <c r="A135" s="122" t="s">
        <v>189</v>
      </c>
      <c r="B135" s="149"/>
      <c r="C135" s="149"/>
      <c r="D135" s="149"/>
      <c r="E135" s="149"/>
      <c r="F135" s="149"/>
      <c r="I135" s="8"/>
    </row>
    <row r="136" spans="1:9" ht="33" customHeight="1">
      <c r="A136" s="61">
        <v>117</v>
      </c>
      <c r="B136" s="62" t="s">
        <v>190</v>
      </c>
      <c r="C136" s="64" t="s">
        <v>191</v>
      </c>
      <c r="D136" s="64" t="s">
        <v>192</v>
      </c>
      <c r="E136" s="8" t="s">
        <v>14</v>
      </c>
      <c r="F136" s="65"/>
      <c r="G136" s="66"/>
      <c r="H136" s="139" t="s">
        <v>15</v>
      </c>
      <c r="I136" s="8" t="s">
        <v>14</v>
      </c>
    </row>
    <row r="137" spans="1:9" ht="33" customHeight="1">
      <c r="A137" s="61">
        <v>118</v>
      </c>
      <c r="B137" s="62" t="s">
        <v>190</v>
      </c>
      <c r="C137" s="64" t="s">
        <v>193</v>
      </c>
      <c r="D137" s="64" t="s">
        <v>194</v>
      </c>
      <c r="E137" s="8" t="s">
        <v>14</v>
      </c>
      <c r="F137" s="65"/>
      <c r="G137" s="66"/>
      <c r="H137" s="139" t="s">
        <v>15</v>
      </c>
      <c r="I137" s="8" t="s">
        <v>14</v>
      </c>
    </row>
    <row r="138" spans="1:9" ht="33" customHeight="1">
      <c r="A138" s="61">
        <v>119</v>
      </c>
      <c r="B138" s="62" t="s">
        <v>190</v>
      </c>
      <c r="C138" s="64" t="s">
        <v>195</v>
      </c>
      <c r="D138" s="64" t="s">
        <v>196</v>
      </c>
      <c r="E138" s="8" t="s">
        <v>14</v>
      </c>
      <c r="F138" s="65"/>
      <c r="G138" s="66"/>
      <c r="H138" s="139" t="s">
        <v>15</v>
      </c>
      <c r="I138" s="8" t="s">
        <v>14</v>
      </c>
    </row>
    <row r="139" spans="1:9" ht="33" customHeight="1">
      <c r="A139" s="61">
        <v>120</v>
      </c>
      <c r="B139" s="62" t="s">
        <v>190</v>
      </c>
      <c r="C139" s="64" t="s">
        <v>197</v>
      </c>
      <c r="D139" s="64" t="s">
        <v>198</v>
      </c>
      <c r="E139" s="8" t="s">
        <v>14</v>
      </c>
      <c r="F139" s="65"/>
      <c r="G139" s="66"/>
      <c r="H139" s="139" t="s">
        <v>15</v>
      </c>
      <c r="I139" s="8" t="s">
        <v>14</v>
      </c>
    </row>
    <row r="140" spans="1:9" ht="33" customHeight="1">
      <c r="A140" s="61">
        <v>121</v>
      </c>
      <c r="B140" s="62" t="s">
        <v>190</v>
      </c>
      <c r="C140" s="64" t="s">
        <v>199</v>
      </c>
      <c r="D140" s="64" t="s">
        <v>200</v>
      </c>
      <c r="E140" s="8" t="s">
        <v>14</v>
      </c>
      <c r="F140" s="65"/>
      <c r="G140" s="66"/>
      <c r="H140" s="139" t="s">
        <v>15</v>
      </c>
      <c r="I140" s="8" t="s">
        <v>14</v>
      </c>
    </row>
  </sheetData>
  <mergeCells count="16">
    <mergeCell ref="A135:F135"/>
    <mergeCell ref="A132:G132"/>
    <mergeCell ref="A62:G62"/>
    <mergeCell ref="A1:G1"/>
    <mergeCell ref="A17:G17"/>
    <mergeCell ref="A43:G43"/>
    <mergeCell ref="A124:G124"/>
    <mergeCell ref="A110:G110"/>
    <mergeCell ref="A82:G82"/>
    <mergeCell ref="A2:G2"/>
    <mergeCell ref="A30:G30"/>
    <mergeCell ref="A102:G102"/>
    <mergeCell ref="A119:G119"/>
    <mergeCell ref="A72:G72"/>
    <mergeCell ref="A53:G53"/>
    <mergeCell ref="A5:G5"/>
  </mergeCells>
  <dataValidations count="1">
    <dataValidation type="list" allowBlank="1" sqref="E136:E140 D135 E5:E134 I5:I140" xr:uid="{00000000-0002-0000-0000-000000000000}">
      <formula1>"Pending,In Progress,Complete,N/A"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workbookViewId="0">
      <pane ySplit="3" topLeftCell="A4" activePane="bottomLeft" state="frozen"/>
      <selection pane="bottomLeft" activeCell="I19" sqref="I19"/>
    </sheetView>
  </sheetViews>
  <sheetFormatPr defaultRowHeight="14.45"/>
  <cols>
    <col min="1" max="1" width="36" customWidth="1"/>
    <col min="2" max="2" width="14" customWidth="1"/>
    <col min="3" max="4" width="12" customWidth="1"/>
    <col min="5" max="5" width="16" customWidth="1"/>
    <col min="6" max="6" width="14" customWidth="1"/>
    <col min="7" max="9" width="17.7109375" customWidth="1"/>
  </cols>
  <sheetData>
    <row r="1" spans="1:9" ht="32.1" customHeight="1">
      <c r="A1" s="134" t="s">
        <v>201</v>
      </c>
      <c r="B1" s="140"/>
      <c r="C1" s="140"/>
      <c r="D1" s="140"/>
      <c r="E1" s="140"/>
      <c r="F1" s="140"/>
    </row>
    <row r="2" spans="1:9" ht="26.25" customHeight="1">
      <c r="G2" s="136" t="s">
        <v>202</v>
      </c>
      <c r="H2" s="137"/>
      <c r="I2" s="137"/>
    </row>
    <row r="3" spans="1:9" ht="20.100000000000001" customHeight="1">
      <c r="A3" s="1" t="s">
        <v>203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  <c r="G3" s="1" t="s">
        <v>206</v>
      </c>
      <c r="H3" s="1" t="s">
        <v>207</v>
      </c>
      <c r="I3" s="1" t="s">
        <v>208</v>
      </c>
    </row>
    <row r="4" spans="1:9" ht="21.95" customHeight="1">
      <c r="A4" s="3" t="s">
        <v>11</v>
      </c>
      <c r="B4" s="74">
        <v>3</v>
      </c>
      <c r="C4" s="74">
        <v>11</v>
      </c>
      <c r="D4" s="75">
        <f>COUNTIF('Monthly Checklist'!E6:E16,"Complete")</f>
        <v>0</v>
      </c>
      <c r="E4" s="76">
        <f>11-D4</f>
        <v>11</v>
      </c>
      <c r="F4" s="77">
        <f t="shared" ref="F4:F18" si="0">IFERROR(D4/C4,0)</f>
        <v>0</v>
      </c>
      <c r="G4" s="75">
        <f>COUNTIF('Monthly Checklist'!I6:I16,"Complete")</f>
        <v>0</v>
      </c>
      <c r="H4" s="76">
        <f>11-G4</f>
        <v>11</v>
      </c>
      <c r="I4" s="77">
        <f>IFERROR(G4/C4,0)</f>
        <v>0</v>
      </c>
    </row>
    <row r="5" spans="1:9" ht="21.95" customHeight="1">
      <c r="A5" s="11" t="s">
        <v>29</v>
      </c>
      <c r="B5" s="78">
        <v>3</v>
      </c>
      <c r="C5" s="78">
        <v>12</v>
      </c>
      <c r="D5" s="79">
        <f>COUNTIF('Monthly Checklist'!E18:E28,"Complete")</f>
        <v>0</v>
      </c>
      <c r="E5" s="80">
        <f>11-D5</f>
        <v>11</v>
      </c>
      <c r="F5" s="81">
        <f t="shared" si="0"/>
        <v>0</v>
      </c>
      <c r="G5" s="79">
        <f>COUNTIF('Monthly Checklist'!I18:I28,"Complete")</f>
        <v>0</v>
      </c>
      <c r="H5" s="80">
        <f>11-G5</f>
        <v>11</v>
      </c>
      <c r="I5" s="77">
        <f t="shared" ref="I5:I17" si="1">IFERROR(G5/C5,0)</f>
        <v>0</v>
      </c>
    </row>
    <row r="6" spans="1:9" ht="21.95" customHeight="1">
      <c r="A6" s="18" t="s">
        <v>47</v>
      </c>
      <c r="B6" s="82">
        <v>3</v>
      </c>
      <c r="C6" s="82">
        <v>12</v>
      </c>
      <c r="D6" s="83">
        <f>COUNTIF('Monthly Checklist'!E31:E41,"Complete")</f>
        <v>0</v>
      </c>
      <c r="E6" s="84">
        <f>10-D6</f>
        <v>10</v>
      </c>
      <c r="F6" s="85">
        <f t="shared" si="0"/>
        <v>0</v>
      </c>
      <c r="G6" s="83">
        <f>COUNTIF('Monthly Checklist'!I31:I41,"Complete")</f>
        <v>0</v>
      </c>
      <c r="H6" s="84">
        <f>10-G6</f>
        <v>10</v>
      </c>
      <c r="I6" s="77">
        <f t="shared" si="1"/>
        <v>0</v>
      </c>
    </row>
    <row r="7" spans="1:9" ht="21.95" customHeight="1">
      <c r="A7" s="25" t="s">
        <v>64</v>
      </c>
      <c r="B7" s="86">
        <v>2</v>
      </c>
      <c r="C7" s="86">
        <v>9</v>
      </c>
      <c r="D7" s="87">
        <f>COUNTIF('Monthly Checklist'!E44:E52,"Complete")</f>
        <v>0</v>
      </c>
      <c r="E7" s="88">
        <f>8-D7</f>
        <v>8</v>
      </c>
      <c r="F7" s="89">
        <f t="shared" si="0"/>
        <v>0</v>
      </c>
      <c r="G7" s="87">
        <f>COUNTIF('Monthly Checklist'!I44:I52,"Complete")</f>
        <v>0</v>
      </c>
      <c r="H7" s="88">
        <f>8-G7</f>
        <v>8</v>
      </c>
      <c r="I7" s="77">
        <f t="shared" si="1"/>
        <v>0</v>
      </c>
    </row>
    <row r="8" spans="1:9" ht="21.95" customHeight="1">
      <c r="A8" s="32" t="s">
        <v>76</v>
      </c>
      <c r="B8" s="90">
        <v>4</v>
      </c>
      <c r="C8" s="90">
        <v>8</v>
      </c>
      <c r="D8" s="91">
        <f>COUNTIF('Monthly Checklist'!E54:E61,"Complete")</f>
        <v>0</v>
      </c>
      <c r="E8" s="92">
        <f>8-D8</f>
        <v>8</v>
      </c>
      <c r="F8" s="93">
        <f t="shared" si="0"/>
        <v>0</v>
      </c>
      <c r="G8" s="91">
        <f>COUNTIF('Monthly Checklist'!I54:I61,"Complete")</f>
        <v>0</v>
      </c>
      <c r="H8" s="92">
        <f>8-G8</f>
        <v>8</v>
      </c>
      <c r="I8" s="77">
        <f t="shared" si="1"/>
        <v>0</v>
      </c>
    </row>
    <row r="9" spans="1:9" ht="21.95" customHeight="1">
      <c r="A9" s="39" t="s">
        <v>90</v>
      </c>
      <c r="B9" s="94">
        <v>4</v>
      </c>
      <c r="C9" s="94">
        <v>9</v>
      </c>
      <c r="D9" s="95">
        <f>COUNTIF('Monthly Checklist'!E63:E71,"Complete")</f>
        <v>0</v>
      </c>
      <c r="E9" s="96">
        <f>9-D9</f>
        <v>9</v>
      </c>
      <c r="F9" s="97">
        <f t="shared" si="0"/>
        <v>0</v>
      </c>
      <c r="G9" s="95">
        <f>COUNTIF('Monthly Checklist'!I63:I71,"Complete")</f>
        <v>0</v>
      </c>
      <c r="H9" s="96">
        <f>9-G9</f>
        <v>9</v>
      </c>
      <c r="I9" s="77">
        <f t="shared" si="1"/>
        <v>0</v>
      </c>
    </row>
    <row r="10" spans="1:9" ht="21.95" customHeight="1">
      <c r="A10" s="46" t="s">
        <v>103</v>
      </c>
      <c r="B10" s="98">
        <v>3</v>
      </c>
      <c r="C10" s="98">
        <v>9</v>
      </c>
      <c r="D10" s="99">
        <f>COUNTIF('Monthly Checklist'!E73:E81,"Complete")</f>
        <v>0</v>
      </c>
      <c r="E10" s="100">
        <f>9-D10</f>
        <v>9</v>
      </c>
      <c r="F10" s="101">
        <f t="shared" si="0"/>
        <v>0</v>
      </c>
      <c r="G10" s="99">
        <f>COUNTIF('Monthly Checklist'!I73:I81,"Complete")</f>
        <v>0</v>
      </c>
      <c r="H10" s="100">
        <f>9-G10</f>
        <v>9</v>
      </c>
      <c r="I10" s="77">
        <f t="shared" si="1"/>
        <v>0</v>
      </c>
    </row>
    <row r="11" spans="1:9" ht="21.95" customHeight="1">
      <c r="A11" s="53" t="s">
        <v>117</v>
      </c>
      <c r="B11" s="102">
        <v>4</v>
      </c>
      <c r="C11" s="102">
        <v>19</v>
      </c>
      <c r="D11" s="103">
        <f>COUNTIF('Monthly Checklist'!E83:E101,"Complete")</f>
        <v>0</v>
      </c>
      <c r="E11" s="104">
        <f>19-D11</f>
        <v>19</v>
      </c>
      <c r="F11" s="105">
        <f t="shared" si="0"/>
        <v>0</v>
      </c>
      <c r="G11" s="103">
        <f>COUNTIF('Monthly Checklist'!I83:I101,"Complete")</f>
        <v>0</v>
      </c>
      <c r="H11" s="104">
        <f>19-G11</f>
        <v>19</v>
      </c>
      <c r="I11" s="77">
        <f t="shared" si="1"/>
        <v>0</v>
      </c>
    </row>
    <row r="12" spans="1:9" ht="21.95" customHeight="1">
      <c r="A12" s="60" t="s">
        <v>142</v>
      </c>
      <c r="B12" s="106">
        <v>2</v>
      </c>
      <c r="C12" s="106">
        <v>7</v>
      </c>
      <c r="D12" s="107">
        <f>COUNTIF('Monthly Checklist'!E103:E108,"Complete")</f>
        <v>0</v>
      </c>
      <c r="E12" s="108">
        <f>6-D12</f>
        <v>6</v>
      </c>
      <c r="F12" s="109">
        <f t="shared" si="0"/>
        <v>0</v>
      </c>
      <c r="G12" s="107">
        <f>COUNTIF('Monthly Checklist'!I103:I108,"Complete")</f>
        <v>0</v>
      </c>
      <c r="H12" s="108">
        <f>6-G12</f>
        <v>6</v>
      </c>
      <c r="I12" s="77">
        <f t="shared" si="1"/>
        <v>0</v>
      </c>
    </row>
    <row r="13" spans="1:9" ht="21.95" customHeight="1">
      <c r="A13" s="67" t="s">
        <v>154</v>
      </c>
      <c r="B13" s="110">
        <v>3</v>
      </c>
      <c r="C13" s="110">
        <v>8</v>
      </c>
      <c r="D13" s="111">
        <f>COUNTIF('Monthly Checklist'!E111:E118,"Complete")</f>
        <v>0</v>
      </c>
      <c r="E13" s="112">
        <f>7-D13</f>
        <v>7</v>
      </c>
      <c r="F13" s="113">
        <f t="shared" si="0"/>
        <v>0</v>
      </c>
      <c r="G13" s="111">
        <f>COUNTIF('Monthly Checklist'!I111:I118,"Complete")</f>
        <v>0</v>
      </c>
      <c r="H13" s="112">
        <f>7-G13</f>
        <v>7</v>
      </c>
      <c r="I13" s="77">
        <f t="shared" si="1"/>
        <v>0</v>
      </c>
    </row>
    <row r="14" spans="1:9" ht="21.95" customHeight="1">
      <c r="A14" s="46" t="s">
        <v>167</v>
      </c>
      <c r="B14" s="98">
        <v>2</v>
      </c>
      <c r="C14" s="98">
        <v>4</v>
      </c>
      <c r="D14" s="99">
        <f>COUNTIF('Monthly Checklist'!E120:E123,"Complete")</f>
        <v>0</v>
      </c>
      <c r="E14" s="100">
        <f>4-D14</f>
        <v>4</v>
      </c>
      <c r="F14" s="101">
        <f t="shared" si="0"/>
        <v>0</v>
      </c>
      <c r="G14" s="99">
        <f>COUNTIF('Monthly Checklist'!I120:I123,"Complete")</f>
        <v>0</v>
      </c>
      <c r="H14" s="100">
        <f>4-G14</f>
        <v>4</v>
      </c>
      <c r="I14" s="77">
        <f t="shared" si="1"/>
        <v>0</v>
      </c>
    </row>
    <row r="15" spans="1:9" ht="21.95" customHeight="1">
      <c r="A15" s="32" t="s">
        <v>175</v>
      </c>
      <c r="B15" s="90">
        <v>2</v>
      </c>
      <c r="C15" s="90">
        <v>7</v>
      </c>
      <c r="D15" s="91">
        <f>COUNTIF('Monthly Checklist'!E125:E131,"Complete")</f>
        <v>0</v>
      </c>
      <c r="E15" s="92">
        <f>7-D15</f>
        <v>7</v>
      </c>
      <c r="F15" s="93">
        <f t="shared" si="0"/>
        <v>0</v>
      </c>
      <c r="G15" s="91">
        <f>COUNTIF('Monthly Checklist'!I125:I131,"Complete")</f>
        <v>0</v>
      </c>
      <c r="H15" s="92">
        <f>7-G15</f>
        <v>7</v>
      </c>
      <c r="I15" s="77">
        <f t="shared" si="1"/>
        <v>0</v>
      </c>
    </row>
    <row r="16" spans="1:9" ht="21.95" customHeight="1">
      <c r="A16" s="32" t="s">
        <v>185</v>
      </c>
      <c r="B16" s="90">
        <v>2</v>
      </c>
      <c r="C16" s="90">
        <v>2</v>
      </c>
      <c r="D16" s="91">
        <f>COUNTIF('Monthly Checklist'!E126:E132,"Complete")</f>
        <v>0</v>
      </c>
      <c r="E16" s="92">
        <f t="shared" ref="E16:E17" si="2">7-D16</f>
        <v>7</v>
      </c>
      <c r="F16" s="93">
        <f t="shared" ref="F16:F17" si="3">IFERROR(D16/C16,0)</f>
        <v>0</v>
      </c>
      <c r="G16" s="91">
        <f>COUNTIF('Monthly Checklist'!I126:I132,"Complete")</f>
        <v>0</v>
      </c>
      <c r="H16" s="92">
        <f t="shared" ref="H16:H17" si="4">7-G16</f>
        <v>7</v>
      </c>
      <c r="I16" s="77">
        <f t="shared" si="1"/>
        <v>0</v>
      </c>
    </row>
    <row r="17" spans="1:9" ht="21.95" customHeight="1">
      <c r="A17" s="32" t="s">
        <v>189</v>
      </c>
      <c r="B17" s="90">
        <v>5</v>
      </c>
      <c r="C17" s="90">
        <v>5</v>
      </c>
      <c r="D17" s="91">
        <f>COUNTIF('Monthly Checklist'!E127:E133,"Complete")</f>
        <v>0</v>
      </c>
      <c r="E17" s="92">
        <f t="shared" si="2"/>
        <v>7</v>
      </c>
      <c r="F17" s="93">
        <f t="shared" si="3"/>
        <v>0</v>
      </c>
      <c r="G17" s="91">
        <f>COUNTIF('Monthly Checklist'!I127:I133,"Complete")</f>
        <v>0</v>
      </c>
      <c r="H17" s="92">
        <f t="shared" si="4"/>
        <v>7</v>
      </c>
      <c r="I17" s="77">
        <f t="shared" si="1"/>
        <v>0</v>
      </c>
    </row>
    <row r="18" spans="1:9" ht="21.95" customHeight="1">
      <c r="A18" s="2" t="s">
        <v>209</v>
      </c>
      <c r="B18" s="1">
        <f>SUM(B4:B17)</f>
        <v>42</v>
      </c>
      <c r="C18" s="1">
        <f t="shared" ref="C18:E18" si="5">SUM(C4:C17)</f>
        <v>122</v>
      </c>
      <c r="D18" s="1">
        <f t="shared" si="5"/>
        <v>0</v>
      </c>
      <c r="E18" s="1">
        <f t="shared" si="5"/>
        <v>123</v>
      </c>
      <c r="F18" s="114">
        <f t="shared" si="0"/>
        <v>0</v>
      </c>
      <c r="G18" s="1">
        <f t="shared" ref="G18:I18" si="6">SUM(G4:G17)</f>
        <v>0</v>
      </c>
      <c r="H18" s="1">
        <f t="shared" si="6"/>
        <v>123</v>
      </c>
      <c r="I18" s="114">
        <f>IFERROR(G18/C18,0)</f>
        <v>0</v>
      </c>
    </row>
  </sheetData>
  <mergeCells count="2">
    <mergeCell ref="A1:F1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Diane Meria</cp:lastModifiedBy>
  <cp:revision/>
  <dcterms:created xsi:type="dcterms:W3CDTF">2026-04-30T15:00:59Z</dcterms:created>
  <dcterms:modified xsi:type="dcterms:W3CDTF">2026-06-05T07:49:54Z</dcterms:modified>
  <cp:category/>
  <cp:contentStatus/>
</cp:coreProperties>
</file>
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shadr\Downloads\"/>
    </mc:Choice>
  </mc:AlternateContent>
  <xr:revisionPtr revIDLastSave="44" documentId="8_{0E58B896-9AE6-477A-820A-267CA924FC57}" xr6:coauthVersionLast="47" xr6:coauthVersionMax="47" xr10:uidLastSave="{AE9B3B77-4C43-47B9-824B-0A424DD74D4F}"/>
  <bookViews>
    <workbookView xWindow="-120" yWindow="-120" windowWidth="20730" windowHeight="11040" firstSheet="2" activeTab="2" xr2:uid="{00000000-000D-0000-FFFF-FFFF00000000}"/>
  </bookViews>
  <sheets>
    <sheet name="April 2026" sheetId="3" state="hidden" r:id="rId1"/>
    <sheet name="July" sheetId="1" r:id="rId2"/>
    <sheet name="Summar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F14" i="2"/>
  <c r="F13" i="2"/>
  <c r="H13" i="2" s="1"/>
  <c r="F12" i="2"/>
  <c r="H12" i="2" s="1"/>
  <c r="F11" i="2"/>
  <c r="H11" i="2" s="1"/>
  <c r="F10" i="2"/>
  <c r="H10" i="2" s="1"/>
  <c r="F9" i="2"/>
  <c r="H9" i="2" s="1"/>
  <c r="F8" i="2"/>
  <c r="H8" i="2" s="1"/>
  <c r="F7" i="2"/>
  <c r="H7" i="2" s="1"/>
  <c r="F6" i="2"/>
  <c r="H6" i="2" s="1"/>
  <c r="G14" i="2"/>
  <c r="G13" i="2"/>
  <c r="G12" i="2"/>
  <c r="G11" i="2"/>
  <c r="G10" i="2"/>
  <c r="G9" i="2"/>
  <c r="G8" i="2"/>
  <c r="G7" i="2"/>
  <c r="G6" i="2"/>
  <c r="F5" i="2"/>
  <c r="C5" i="2"/>
  <c r="E5" i="2" s="1"/>
  <c r="B15" i="2"/>
  <c r="C14" i="2"/>
  <c r="D14" i="2"/>
  <c r="E14" i="2"/>
  <c r="C13" i="2"/>
  <c r="D13" i="2" s="1"/>
  <c r="C12" i="2"/>
  <c r="E12" i="2" s="1"/>
  <c r="C11" i="2"/>
  <c r="D11" i="2" s="1"/>
  <c r="C10" i="2"/>
  <c r="C9" i="2"/>
  <c r="D9" i="2" s="1"/>
  <c r="C8" i="2"/>
  <c r="E8" i="2" s="1"/>
  <c r="C7" i="2"/>
  <c r="E7" i="2" s="1"/>
  <c r="C6" i="2"/>
  <c r="D5" i="2"/>
  <c r="H5" i="2" l="1"/>
  <c r="F15" i="2"/>
  <c r="H15" i="2" s="1"/>
  <c r="G5" i="2"/>
  <c r="G15" i="2" s="1"/>
  <c r="E6" i="2"/>
  <c r="C15" i="2"/>
  <c r="E15" i="2" s="1"/>
  <c r="D10" i="2"/>
  <c r="E10" i="2"/>
  <c r="D6" i="2"/>
  <c r="E11" i="2"/>
  <c r="D8" i="2"/>
  <c r="E9" i="2"/>
  <c r="D12" i="2"/>
  <c r="E13" i="2"/>
  <c r="D7" i="2"/>
  <c r="D15" i="2" l="1"/>
</calcChain>
</file>

<file path=xl/sharedStrings.xml><?xml version="1.0" encoding="utf-8"?>
<sst xmlns="http://schemas.openxmlformats.org/spreadsheetml/2006/main" count="772" uniqueCount="104">
  <si>
    <t>NGO Month-End Checklist</t>
  </si>
  <si>
    <t>Finance Department  |  Prepared by: _______________  |  Month: _______________  |  Reviewed by: _______________</t>
  </si>
  <si>
    <t>#</t>
  </si>
  <si>
    <t>Section</t>
  </si>
  <si>
    <t>Checklist Item</t>
  </si>
  <si>
    <t>Status</t>
  </si>
  <si>
    <t>Completed By</t>
  </si>
  <si>
    <t>Notes</t>
  </si>
  <si>
    <t>Confirmed By</t>
  </si>
  <si>
    <t xml:space="preserve">  Income (Statement of Activities)</t>
  </si>
  <si>
    <t>HOD</t>
  </si>
  <si>
    <t>Income (Statement of Activities)</t>
  </si>
  <si>
    <t>Record and classify all grant income received by fund/restriction</t>
  </si>
  <si>
    <t>N/A</t>
  </si>
  <si>
    <t>Accountant</t>
  </si>
  <si>
    <t>Grant income from March 2026 (Historical Consulting) received in May 2026</t>
  </si>
  <si>
    <t>Pending</t>
  </si>
  <si>
    <t>Post donation and fundraising income, confirm against receipts</t>
  </si>
  <si>
    <t>Accrue any earned but uninvoiced income (e.g. milestone-based grants)</t>
  </si>
  <si>
    <t>Record interest income and any forex gains on foreign currency receipts</t>
  </si>
  <si>
    <t>Reconcile income by programme/project code to grant agreements</t>
  </si>
  <si>
    <t>Confirm restricted vs unrestricted income split is correctly coded</t>
  </si>
  <si>
    <t xml:space="preserve">  Expenditure (Statement of Activities)</t>
  </si>
  <si>
    <t>Expenditure (Statement of Activities)</t>
  </si>
  <si>
    <t>Ensure all invoices and payment vouchers are posted and approved</t>
  </si>
  <si>
    <t>Complete</t>
  </si>
  <si>
    <t>Verify payroll and staff costs allocated correctly to programme/admin</t>
  </si>
  <si>
    <t>Post accruals for goods/services received but not yet invoiced</t>
  </si>
  <si>
    <t>Review prepayments and release appropriate portion to expense</t>
  </si>
  <si>
    <t>Confirm shared costs (rent, utilities) are apportioned across cost centres</t>
  </si>
  <si>
    <t>Check for duplicate payments or unapproved expenditure</t>
  </si>
  <si>
    <t>Compare expenditure to budget line items; document variances above 10%</t>
  </si>
  <si>
    <t>Check for accuracy in coding for each expenditure per grant</t>
  </si>
  <si>
    <t>Have you done an FX valuation</t>
  </si>
  <si>
    <t>Have you submitted payment vouchers for signing to Chao</t>
  </si>
  <si>
    <t xml:space="preserve">  Balance Sheet Items</t>
  </si>
  <si>
    <t>Balance Sheet Items</t>
  </si>
  <si>
    <t>Reconcile all bank accounts and confirm closing cash balances</t>
  </si>
  <si>
    <t>Submit bank reconciliations to Chao for signature</t>
  </si>
  <si>
    <t>Update fixed asset register — additions, disposals, monthly depreciation</t>
  </si>
  <si>
    <t>Confirm petty cash count matches petty cash ledger balance</t>
  </si>
  <si>
    <t>Verify deferred income balance reflects unspent restricted grant funds</t>
  </si>
  <si>
    <t>Review fund balances — restricted, unrestricted, designated</t>
  </si>
  <si>
    <t>Prepare and review trial balance; confirm it is in balance</t>
  </si>
  <si>
    <t xml:space="preserve">  Advances</t>
  </si>
  <si>
    <t>Advances</t>
  </si>
  <si>
    <t>Print advances register and confirm all open balances per staff/partner</t>
  </si>
  <si>
    <t>Follow up on all advances outstanding beyond the approved clearance period</t>
  </si>
  <si>
    <t>Review and post retirement/liquidation documents submitted this month</t>
  </si>
  <si>
    <t>Confirm no new advance issued to staff with an unretired prior advance</t>
  </si>
  <si>
    <t>Reconcile advances to implementing partners against sub-grant agreements</t>
  </si>
  <si>
    <t>Flag advances older than 90 days to management for escalation</t>
  </si>
  <si>
    <t>Ensure advances ledger balance agrees to balance sheet advances line</t>
  </si>
  <si>
    <t xml:space="preserve">  Receivables</t>
  </si>
  <si>
    <t>Receivables</t>
  </si>
  <si>
    <t>Generate aged receivables report and review balances by donor/partner</t>
  </si>
  <si>
    <t>Follow up on overdue grant reimbursements and donor invoices</t>
  </si>
  <si>
    <t>Post all cash received against open receivable items</t>
  </si>
  <si>
    <t>Identify any receivables at risk of non-collection; flag for provision</t>
  </si>
  <si>
    <t>Confirm interproject or inter-fund receivables are matched and will clear</t>
  </si>
  <si>
    <t>Reconcile receivables ledger total to balance sheet receivables line</t>
  </si>
  <si>
    <t xml:space="preserve">  Payables</t>
  </si>
  <si>
    <t>Payables</t>
  </si>
  <si>
    <t>Generate aged payables report; review all balances by vendor/creditor</t>
  </si>
  <si>
    <t>Confirm all approved invoices due this month are paid or accrued</t>
  </si>
  <si>
    <t>Reconcile supplier statements to the payables ledger for key vendors</t>
  </si>
  <si>
    <t>Review statutory payables — VAT, WHT — and confirm remittance</t>
  </si>
  <si>
    <t>Check for any disputed invoices or items on hold; document reason</t>
  </si>
  <si>
    <t>Reconcile payables ledger total to balance sheet payables line</t>
  </si>
  <si>
    <t>ALL</t>
  </si>
  <si>
    <t>Have you locked the accounting period</t>
  </si>
  <si>
    <t xml:space="preserve">  Programme &amp; Grants</t>
  </si>
  <si>
    <t>Programme &amp; Grants</t>
  </si>
  <si>
    <t>Submit interim financial reports due to funders this month</t>
  </si>
  <si>
    <t>Update grant tracking register with receipts and expenditures</t>
  </si>
  <si>
    <t>Review burn rates per active grant and flag underspend or overspend</t>
  </si>
  <si>
    <t>Confirm invoices from implementing partners are received and approved</t>
  </si>
  <si>
    <t>Archive supporting documents for all grant transactions</t>
  </si>
  <si>
    <t>Update cash flow forecast and pipeline tracker</t>
  </si>
  <si>
    <t>Update grant report with expenditure</t>
  </si>
  <si>
    <t xml:space="preserve">  Governance &amp; Compliance</t>
  </si>
  <si>
    <t>Governance &amp; Compliance</t>
  </si>
  <si>
    <t>Review outstanding statutory filings or compliance deadlines</t>
  </si>
  <si>
    <t>Review risk register and flag new financial risks to management</t>
  </si>
  <si>
    <t>Ensure board/committee decisions from last meeting are actioned</t>
  </si>
  <si>
    <t>Distribute monthly finance report to management and relevant board members</t>
  </si>
  <si>
    <t xml:space="preserve">  HR &amp; Operations</t>
  </si>
  <si>
    <t>HR &amp; Operations</t>
  </si>
  <si>
    <t>Review vendor contracts expiring in the next 60 days</t>
  </si>
  <si>
    <t>Archival/filing</t>
  </si>
  <si>
    <t>Archival &amp; filing</t>
  </si>
  <si>
    <t>Confirm if you have you uploaded the signed PVs alongside invoices to the files</t>
  </si>
  <si>
    <t>Confirm if you have you uploaded the signed Bank recs alongside invoices to the files</t>
  </si>
  <si>
    <t>Finance Department  |  Prepared by: ______Shadrack_________  |  Month: _______July________  |  Reviewed by: _______________</t>
  </si>
  <si>
    <t>No grant received</t>
  </si>
  <si>
    <t>NO donation received</t>
  </si>
  <si>
    <t>WHT done</t>
  </si>
  <si>
    <t>Done by Gregory</t>
  </si>
  <si>
    <t>Month-End Checklist — Summary</t>
  </si>
  <si>
    <t>Confirmed by  HOD status</t>
  </si>
  <si>
    <t>Total Items</t>
  </si>
  <si>
    <t>Pending / Other</t>
  </si>
  <si>
    <t>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</si>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</sst>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6"/>
      <color rgb="FF1A1A1A"/>
      <name val="Arial"/>
    </font>
    <font>
      <sz val="10"/>
      <color rgb="FF888780"/>
      <name val="Arial"/>
    </font>
    <font>
      <b/>
      <sz val="10"/>
      <color rgb="FFFFFFFF"/>
      <name val="Arial"/>
    </font>
    <font>
      <b/>
      <sz val="10"/>
      <color rgb="FF27500A"/>
      <name val="Arial"/>
    </font>
    <font>
      <sz val="9"/>
      <color rgb="FF888780"/>
      <name val="Arial"/>
    </font>
    <font>
      <sz val="10"/>
      <color rgb="FF1A1A1A"/>
      <name val="Arial"/>
    </font>
    <font>
      <sz val="9"/>
      <color rgb="FFBA7517"/>
      <name val="Arial"/>
    </font>
    <font>
      <sz val="9"/>
      <name val="Arial"/>
    </font>
    <font>
      <b/>
      <sz val="10"/>
      <color rgb="FF791F1F"/>
      <name val="Arial"/>
    </font>
    <font>
      <b/>
      <sz val="10"/>
      <color rgb="FF0C447C"/>
      <name val="Arial"/>
    </font>
    <font>
      <b/>
      <sz val="10"/>
      <color rgb="FF633806"/>
      <name val="Arial"/>
    </font>
    <font>
      <b/>
      <sz val="10"/>
      <color rgb="FF3C3489"/>
      <name val="Arial"/>
    </font>
    <font>
      <b/>
      <sz val="10"/>
      <color rgb="FF72243E"/>
      <name val="Arial"/>
    </font>
    <font>
      <b/>
      <sz val="10"/>
      <color rgb="FF085041"/>
      <name val="Arial"/>
    </font>
    <font>
      <b/>
      <sz val="10"/>
      <color rgb="FF444441"/>
      <name val="Arial"/>
    </font>
    <font>
      <b/>
      <sz val="10"/>
      <color rgb="FF712B13"/>
      <name val="Arial"/>
    </font>
    <font>
      <b/>
      <sz val="14"/>
      <color rgb="FF1A1A1A"/>
      <name val="Arial"/>
    </font>
    <font>
      <sz val="10"/>
      <name val="Arial"/>
    </font>
    <font>
      <sz val="10"/>
      <color rgb="FF3B6D11"/>
      <name val="Arial"/>
    </font>
    <font>
      <sz val="10"/>
      <color rgb="FFBA7517"/>
      <name val="Arial"/>
    </font>
  </fonts>
  <fills count="22">
    <fill>
      <patternFill patternType="none"/>
    </fill>
    <fill>
      <patternFill patternType="gray125"/>
    </fill>
    <fill>
      <patternFill patternType="solid">
        <fgColor rgb="FFF8F8F6"/>
      </patternFill>
    </fill>
    <fill>
      <patternFill patternType="solid">
        <fgColor rgb="FF2C2C2A"/>
      </patternFill>
    </fill>
    <fill>
      <patternFill patternType="solid">
        <fgColor rgb="FFEAF3DE"/>
      </patternFill>
    </fill>
    <fill>
      <patternFill patternType="solid">
        <fgColor rgb="FFF4F9E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FEF5F5"/>
      </patternFill>
    </fill>
    <fill>
      <patternFill patternType="solid">
        <fgColor rgb="FFE6F1FB"/>
      </patternFill>
    </fill>
    <fill>
      <patternFill patternType="solid">
        <fgColor rgb="FFF2F8FD"/>
      </patternFill>
    </fill>
    <fill>
      <patternFill patternType="solid">
        <fgColor rgb="FFFDF6ED"/>
      </patternFill>
    </fill>
    <fill>
      <patternFill patternType="solid">
        <fgColor rgb="FFEEEDFE"/>
      </patternFill>
    </fill>
    <fill>
      <patternFill patternType="solid">
        <fgColor rgb="FFF7F7FE"/>
      </patternFill>
    </fill>
    <fill>
      <patternFill patternType="solid">
        <fgColor rgb="FFFBEAF0"/>
      </patternFill>
    </fill>
    <fill>
      <patternFill patternType="solid">
        <fgColor rgb="FFFEF4F7"/>
      </patternFill>
    </fill>
    <fill>
      <patternFill patternType="solid">
        <fgColor rgb="FFE1F5EE"/>
      </patternFill>
    </fill>
    <fill>
      <patternFill patternType="solid">
        <fgColor rgb="FFF0FAF5"/>
      </patternFill>
    </fill>
    <fill>
      <patternFill patternType="solid">
        <fgColor rgb="FFF1EFE8"/>
      </patternFill>
    </fill>
    <fill>
      <patternFill patternType="solid">
        <fgColor rgb="FFF8F7F4"/>
      </patternFill>
    </fill>
    <fill>
      <patternFill patternType="solid">
        <fgColor rgb="FFFAECE7"/>
      </patternFill>
    </fill>
    <fill>
      <patternFill patternType="solid">
        <fgColor rgb="FFFDF4F1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15" fillId="18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16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9" fontId="18" fillId="5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9" fontId="18" fillId="8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9" fontId="18" fillId="10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9" fontId="18" fillId="11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9" fontId="18" fillId="13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9" fontId="18" fillId="15" borderId="1" xfId="0" applyNumberFormat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9" fontId="18" fillId="17" borderId="1" xfId="0" applyNumberFormat="1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9" fontId="18" fillId="19" borderId="1" xfId="0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/>
    </xf>
    <xf numFmtId="9" fontId="18" fillId="21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0" fillId="20" borderId="1" xfId="0" applyFill="1" applyBorder="1"/>
    <xf numFmtId="0" fontId="17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left" vertical="center"/>
    </xf>
    <xf numFmtId="0" fontId="16" fillId="20" borderId="1" xfId="0" applyFont="1" applyFill="1" applyBorder="1" applyAlignment="1">
      <alignment horizontal="left" vertical="center"/>
    </xf>
    <xf numFmtId="0" fontId="0" fillId="0" borderId="0" xfId="0" applyAlignment="1"/>
    <xf numFmtId="0" fontId="0" fillId="4" borderId="1" xfId="0" applyFill="1" applyBorder="1" applyAlignment="1"/>
    <xf numFmtId="0" fontId="0" fillId="7" borderId="1" xfId="0" applyFill="1" applyBorder="1" applyAlignment="1"/>
    <xf numFmtId="0" fontId="0" fillId="9" borderId="1" xfId="0" applyFill="1" applyBorder="1" applyAlignment="1"/>
    <xf numFmtId="0" fontId="0" fillId="6" borderId="1" xfId="0" applyFill="1" applyBorder="1" applyAlignment="1"/>
    <xf numFmtId="0" fontId="0" fillId="12" borderId="1" xfId="0" applyFill="1" applyBorder="1" applyAlignment="1"/>
    <xf numFmtId="0" fontId="0" fillId="14" borderId="1" xfId="0" applyFill="1" applyBorder="1" applyAlignment="1"/>
    <xf numFmtId="0" fontId="0" fillId="16" borderId="1" xfId="0" applyFill="1" applyBorder="1" applyAlignment="1"/>
    <xf numFmtId="0" fontId="0" fillId="18" borderId="1" xfId="0" applyFill="1" applyBorder="1" applyAlignment="1"/>
    <xf numFmtId="0" fontId="0" fillId="2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7DA6-A48F-4F94-92F9-2DF412A8C758}">
  <dimension ref="A1:H72"/>
  <sheetViews>
    <sheetView workbookViewId="0">
      <pane ySplit="4" topLeftCell="A5" activePane="bottomLeft" state="frozen"/>
      <selection pane="bottomLeft" activeCell="K12" sqref="K12"/>
    </sheetView>
  </sheetViews>
  <sheetFormatPr defaultRowHeight="15"/>
  <cols>
    <col min="1" max="1" width="5" customWidth="1"/>
    <col min="2" max="2" width="28" customWidth="1"/>
    <col min="3" max="3" width="62" customWidth="1"/>
    <col min="4" max="4" width="14" customWidth="1"/>
    <col min="5" max="5" width="20" customWidth="1"/>
    <col min="6" max="6" width="30" customWidth="1"/>
    <col min="7" max="7" width="17.7109375" customWidth="1"/>
  </cols>
  <sheetData>
    <row r="1" spans="1:8" ht="36" customHeight="1">
      <c r="A1" s="102" t="s">
        <v>0</v>
      </c>
      <c r="B1" s="112"/>
      <c r="C1" s="112"/>
      <c r="D1" s="112"/>
      <c r="E1" s="112"/>
      <c r="F1" s="112"/>
    </row>
    <row r="2" spans="1:8" ht="21.95" customHeight="1">
      <c r="A2" s="103" t="s">
        <v>1</v>
      </c>
      <c r="B2" s="112"/>
      <c r="C2" s="112"/>
      <c r="D2" s="112"/>
      <c r="E2" s="112"/>
      <c r="F2" s="112"/>
    </row>
    <row r="3" spans="1:8" ht="8.1" customHeight="1"/>
    <row r="4" spans="1:8" ht="21.95" customHeight="1">
      <c r="A4" s="1" t="s">
        <v>2</v>
      </c>
      <c r="B4" s="1" t="s">
        <v>3</v>
      </c>
      <c r="C4" s="2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5</v>
      </c>
    </row>
    <row r="5" spans="1:8" ht="20.100000000000001" customHeight="1">
      <c r="A5" s="104" t="s">
        <v>9</v>
      </c>
      <c r="B5" s="113"/>
      <c r="C5" s="113"/>
      <c r="D5" s="113"/>
      <c r="E5" s="113"/>
      <c r="F5" s="113"/>
      <c r="G5" t="s">
        <v>10</v>
      </c>
      <c r="H5" s="89"/>
    </row>
    <row r="6" spans="1:8" ht="39" customHeight="1">
      <c r="A6" s="4">
        <v>1</v>
      </c>
      <c r="B6" s="5" t="s">
        <v>11</v>
      </c>
      <c r="C6" s="6" t="s">
        <v>12</v>
      </c>
      <c r="D6" s="7" t="s">
        <v>13</v>
      </c>
      <c r="E6" s="8" t="s">
        <v>14</v>
      </c>
      <c r="F6" s="9" t="s">
        <v>15</v>
      </c>
      <c r="G6" t="s">
        <v>10</v>
      </c>
      <c r="H6" s="7" t="s">
        <v>16</v>
      </c>
    </row>
    <row r="7" spans="1:8" ht="27.95" customHeight="1">
      <c r="A7" s="4">
        <v>2</v>
      </c>
      <c r="B7" s="5" t="s">
        <v>11</v>
      </c>
      <c r="C7" s="6" t="s">
        <v>17</v>
      </c>
      <c r="D7" s="7" t="s">
        <v>16</v>
      </c>
      <c r="E7" s="8" t="s">
        <v>14</v>
      </c>
      <c r="F7" s="9"/>
      <c r="G7" t="s">
        <v>10</v>
      </c>
      <c r="H7" s="7" t="s">
        <v>16</v>
      </c>
    </row>
    <row r="8" spans="1:8" ht="27.95" customHeight="1">
      <c r="A8" s="4">
        <v>3</v>
      </c>
      <c r="B8" s="5" t="s">
        <v>11</v>
      </c>
      <c r="C8" s="6" t="s">
        <v>18</v>
      </c>
      <c r="D8" s="7" t="s">
        <v>16</v>
      </c>
      <c r="E8" s="8" t="s">
        <v>14</v>
      </c>
      <c r="F8" s="9"/>
      <c r="G8" t="s">
        <v>10</v>
      </c>
      <c r="H8" s="7" t="s">
        <v>16</v>
      </c>
    </row>
    <row r="9" spans="1:8" ht="27.95" customHeight="1">
      <c r="A9" s="4">
        <v>4</v>
      </c>
      <c r="B9" s="5" t="s">
        <v>11</v>
      </c>
      <c r="C9" s="6" t="s">
        <v>19</v>
      </c>
      <c r="D9" s="7" t="s">
        <v>16</v>
      </c>
      <c r="E9" s="8" t="s">
        <v>14</v>
      </c>
      <c r="F9" s="9"/>
      <c r="G9" t="s">
        <v>10</v>
      </c>
      <c r="H9" s="7" t="s">
        <v>16</v>
      </c>
    </row>
    <row r="10" spans="1:8" ht="27.95" customHeight="1">
      <c r="A10" s="4">
        <v>5</v>
      </c>
      <c r="B10" s="5" t="s">
        <v>11</v>
      </c>
      <c r="C10" s="6" t="s">
        <v>20</v>
      </c>
      <c r="D10" s="7" t="s">
        <v>16</v>
      </c>
      <c r="E10" s="8" t="s">
        <v>14</v>
      </c>
      <c r="F10" s="9"/>
      <c r="G10" t="s">
        <v>10</v>
      </c>
      <c r="H10" s="7" t="s">
        <v>16</v>
      </c>
    </row>
    <row r="11" spans="1:8" ht="27.95" customHeight="1">
      <c r="A11" s="4">
        <v>6</v>
      </c>
      <c r="B11" s="5" t="s">
        <v>11</v>
      </c>
      <c r="C11" s="6" t="s">
        <v>21</v>
      </c>
      <c r="D11" s="7" t="s">
        <v>16</v>
      </c>
      <c r="E11" s="8" t="s">
        <v>14</v>
      </c>
      <c r="F11" s="9"/>
      <c r="G11" t="s">
        <v>10</v>
      </c>
      <c r="H11" s="7" t="s">
        <v>16</v>
      </c>
    </row>
    <row r="12" spans="1:8" ht="20.100000000000001" customHeight="1">
      <c r="A12" s="105" t="s">
        <v>22</v>
      </c>
      <c r="B12" s="114"/>
      <c r="C12" s="114"/>
      <c r="D12" s="114"/>
      <c r="E12" s="114"/>
      <c r="F12" s="114"/>
      <c r="G12" t="s">
        <v>10</v>
      </c>
      <c r="H12" s="90"/>
    </row>
    <row r="13" spans="1:8" ht="27.95" customHeight="1">
      <c r="A13" s="11">
        <v>7</v>
      </c>
      <c r="B13" s="12" t="s">
        <v>23</v>
      </c>
      <c r="C13" s="13" t="s">
        <v>24</v>
      </c>
      <c r="D13" s="7" t="s">
        <v>25</v>
      </c>
      <c r="E13" s="8" t="s">
        <v>14</v>
      </c>
      <c r="F13" s="14"/>
      <c r="G13" t="s">
        <v>10</v>
      </c>
      <c r="H13" s="7" t="s">
        <v>16</v>
      </c>
    </row>
    <row r="14" spans="1:8" ht="27.95" customHeight="1">
      <c r="A14" s="11">
        <v>8</v>
      </c>
      <c r="B14" s="12" t="s">
        <v>23</v>
      </c>
      <c r="C14" s="13" t="s">
        <v>26</v>
      </c>
      <c r="D14" s="7" t="s">
        <v>16</v>
      </c>
      <c r="E14" s="8" t="s">
        <v>14</v>
      </c>
      <c r="F14" s="14"/>
      <c r="G14" t="s">
        <v>10</v>
      </c>
      <c r="H14" s="7" t="s">
        <v>16</v>
      </c>
    </row>
    <row r="15" spans="1:8" ht="27.95" customHeight="1">
      <c r="A15" s="11">
        <v>9</v>
      </c>
      <c r="B15" s="12" t="s">
        <v>23</v>
      </c>
      <c r="C15" s="13" t="s">
        <v>27</v>
      </c>
      <c r="D15" s="7" t="s">
        <v>16</v>
      </c>
      <c r="E15" s="8" t="s">
        <v>14</v>
      </c>
      <c r="F15" s="14"/>
      <c r="G15" t="s">
        <v>10</v>
      </c>
      <c r="H15" s="7" t="s">
        <v>16</v>
      </c>
    </row>
    <row r="16" spans="1:8" ht="27.95" customHeight="1">
      <c r="A16" s="11">
        <v>10</v>
      </c>
      <c r="B16" s="12" t="s">
        <v>23</v>
      </c>
      <c r="C16" s="13" t="s">
        <v>28</v>
      </c>
      <c r="D16" s="7" t="s">
        <v>16</v>
      </c>
      <c r="E16" s="8" t="s">
        <v>14</v>
      </c>
      <c r="F16" s="14"/>
      <c r="G16" t="s">
        <v>10</v>
      </c>
      <c r="H16" s="7" t="s">
        <v>16</v>
      </c>
    </row>
    <row r="17" spans="1:8" ht="27.95" customHeight="1">
      <c r="A17" s="11">
        <v>11</v>
      </c>
      <c r="B17" s="12" t="s">
        <v>23</v>
      </c>
      <c r="C17" s="13" t="s">
        <v>29</v>
      </c>
      <c r="D17" s="7" t="s">
        <v>16</v>
      </c>
      <c r="E17" s="8" t="s">
        <v>14</v>
      </c>
      <c r="F17" s="14"/>
      <c r="G17" t="s">
        <v>10</v>
      </c>
      <c r="H17" s="7" t="s">
        <v>16</v>
      </c>
    </row>
    <row r="18" spans="1:8" ht="27.95" customHeight="1">
      <c r="A18" s="11">
        <v>12</v>
      </c>
      <c r="B18" s="12" t="s">
        <v>23</v>
      </c>
      <c r="C18" s="13" t="s">
        <v>30</v>
      </c>
      <c r="D18" s="7" t="s">
        <v>16</v>
      </c>
      <c r="E18" s="8" t="s">
        <v>14</v>
      </c>
      <c r="F18" s="14"/>
      <c r="G18" t="s">
        <v>10</v>
      </c>
      <c r="H18" s="7" t="s">
        <v>16</v>
      </c>
    </row>
    <row r="19" spans="1:8" ht="27.95" customHeight="1">
      <c r="A19" s="11">
        <v>13</v>
      </c>
      <c r="B19" s="12" t="s">
        <v>23</v>
      </c>
      <c r="C19" s="13" t="s">
        <v>31</v>
      </c>
      <c r="D19" s="7" t="s">
        <v>16</v>
      </c>
      <c r="E19" s="8" t="s">
        <v>14</v>
      </c>
      <c r="F19" s="14"/>
      <c r="G19" t="s">
        <v>10</v>
      </c>
      <c r="H19" s="7" t="s">
        <v>16</v>
      </c>
    </row>
    <row r="20" spans="1:8" ht="27.95" customHeight="1">
      <c r="A20" s="11">
        <v>14</v>
      </c>
      <c r="B20" s="12" t="s">
        <v>23</v>
      </c>
      <c r="C20" s="13" t="s">
        <v>32</v>
      </c>
      <c r="D20" s="7" t="s">
        <v>16</v>
      </c>
      <c r="E20" s="8" t="s">
        <v>14</v>
      </c>
      <c r="F20" s="14"/>
      <c r="G20" t="s">
        <v>10</v>
      </c>
      <c r="H20" s="7" t="s">
        <v>16</v>
      </c>
    </row>
    <row r="21" spans="1:8" ht="27.95" customHeight="1">
      <c r="A21" s="11">
        <v>15</v>
      </c>
      <c r="B21" s="12" t="s">
        <v>23</v>
      </c>
      <c r="C21" s="13" t="s">
        <v>33</v>
      </c>
      <c r="D21" s="7" t="s">
        <v>16</v>
      </c>
      <c r="E21" s="8" t="s">
        <v>14</v>
      </c>
      <c r="F21" s="14"/>
      <c r="G21" t="s">
        <v>10</v>
      </c>
      <c r="H21" s="7" t="s">
        <v>16</v>
      </c>
    </row>
    <row r="22" spans="1:8" ht="27.95" customHeight="1">
      <c r="A22" s="11">
        <v>16</v>
      </c>
      <c r="B22" s="12" t="s">
        <v>23</v>
      </c>
      <c r="C22" s="13" t="s">
        <v>34</v>
      </c>
      <c r="D22" s="7" t="s">
        <v>16</v>
      </c>
      <c r="E22" s="8" t="s">
        <v>14</v>
      </c>
      <c r="F22" s="14"/>
      <c r="G22" t="s">
        <v>10</v>
      </c>
      <c r="H22" s="7" t="s">
        <v>16</v>
      </c>
    </row>
    <row r="23" spans="1:8" ht="20.100000000000001" customHeight="1">
      <c r="A23" s="106" t="s">
        <v>35</v>
      </c>
      <c r="B23" s="115"/>
      <c r="C23" s="115"/>
      <c r="D23" s="115"/>
      <c r="E23" s="115"/>
      <c r="F23" s="115"/>
      <c r="G23" t="s">
        <v>10</v>
      </c>
      <c r="H23" s="91"/>
    </row>
    <row r="24" spans="1:8" ht="27.95" customHeight="1">
      <c r="A24" s="16">
        <v>17</v>
      </c>
      <c r="B24" s="17" t="s">
        <v>36</v>
      </c>
      <c r="C24" s="18" t="s">
        <v>37</v>
      </c>
      <c r="D24" s="7" t="s">
        <v>16</v>
      </c>
      <c r="E24" s="8" t="s">
        <v>14</v>
      </c>
      <c r="F24" s="19"/>
      <c r="G24" t="s">
        <v>10</v>
      </c>
      <c r="H24" s="7" t="s">
        <v>16</v>
      </c>
    </row>
    <row r="25" spans="1:8" ht="27.95" customHeight="1">
      <c r="A25" s="16">
        <v>18</v>
      </c>
      <c r="B25" s="17" t="s">
        <v>36</v>
      </c>
      <c r="C25" s="18" t="s">
        <v>38</v>
      </c>
      <c r="D25" s="7" t="s">
        <v>16</v>
      </c>
      <c r="E25" s="8" t="s">
        <v>14</v>
      </c>
      <c r="F25" s="19"/>
      <c r="G25" t="s">
        <v>10</v>
      </c>
      <c r="H25" s="7"/>
    </row>
    <row r="26" spans="1:8" ht="27.95" customHeight="1">
      <c r="A26" s="16">
        <v>18</v>
      </c>
      <c r="B26" s="17" t="s">
        <v>36</v>
      </c>
      <c r="C26" s="18" t="s">
        <v>39</v>
      </c>
      <c r="D26" s="7" t="s">
        <v>16</v>
      </c>
      <c r="E26" s="8" t="s">
        <v>14</v>
      </c>
      <c r="F26" s="19"/>
      <c r="G26" t="s">
        <v>10</v>
      </c>
      <c r="H26" s="7" t="s">
        <v>16</v>
      </c>
    </row>
    <row r="27" spans="1:8" ht="27.95" customHeight="1">
      <c r="A27" s="16">
        <v>19</v>
      </c>
      <c r="B27" s="17" t="s">
        <v>36</v>
      </c>
      <c r="C27" s="18" t="s">
        <v>40</v>
      </c>
      <c r="D27" s="7" t="s">
        <v>16</v>
      </c>
      <c r="E27" s="8" t="s">
        <v>14</v>
      </c>
      <c r="F27" s="19"/>
      <c r="G27" t="s">
        <v>10</v>
      </c>
      <c r="H27" s="7" t="s">
        <v>16</v>
      </c>
    </row>
    <row r="28" spans="1:8" ht="27.95" customHeight="1">
      <c r="A28" s="16">
        <v>20</v>
      </c>
      <c r="B28" s="17" t="s">
        <v>36</v>
      </c>
      <c r="C28" s="18" t="s">
        <v>41</v>
      </c>
      <c r="D28" s="7" t="s">
        <v>16</v>
      </c>
      <c r="E28" s="8" t="s">
        <v>14</v>
      </c>
      <c r="F28" s="19"/>
      <c r="G28" t="s">
        <v>10</v>
      </c>
      <c r="H28" s="7" t="s">
        <v>16</v>
      </c>
    </row>
    <row r="29" spans="1:8" ht="27.95" customHeight="1">
      <c r="A29" s="16">
        <v>21</v>
      </c>
      <c r="B29" s="17" t="s">
        <v>36</v>
      </c>
      <c r="C29" s="18" t="s">
        <v>42</v>
      </c>
      <c r="D29" s="7" t="s">
        <v>16</v>
      </c>
      <c r="E29" s="8" t="s">
        <v>14</v>
      </c>
      <c r="F29" s="19"/>
      <c r="G29" t="s">
        <v>10</v>
      </c>
      <c r="H29" s="7" t="s">
        <v>16</v>
      </c>
    </row>
    <row r="30" spans="1:8" ht="27.95" customHeight="1">
      <c r="A30" s="16">
        <v>22</v>
      </c>
      <c r="B30" s="17" t="s">
        <v>36</v>
      </c>
      <c r="C30" s="18" t="s">
        <v>43</v>
      </c>
      <c r="D30" s="7" t="s">
        <v>16</v>
      </c>
      <c r="E30" s="8" t="s">
        <v>14</v>
      </c>
      <c r="F30" s="19"/>
      <c r="G30" t="s">
        <v>10</v>
      </c>
      <c r="H30" s="7" t="s">
        <v>16</v>
      </c>
    </row>
    <row r="31" spans="1:8" ht="20.100000000000001" customHeight="1">
      <c r="A31" s="107" t="s">
        <v>44</v>
      </c>
      <c r="B31" s="116"/>
      <c r="C31" s="116"/>
      <c r="D31" s="116"/>
      <c r="E31" s="116"/>
      <c r="F31" s="116"/>
      <c r="G31" t="s">
        <v>10</v>
      </c>
      <c r="H31" s="92"/>
    </row>
    <row r="32" spans="1:8" ht="27.95" customHeight="1">
      <c r="A32" s="21">
        <v>23</v>
      </c>
      <c r="B32" s="22" t="s">
        <v>45</v>
      </c>
      <c r="C32" s="23" t="s">
        <v>46</v>
      </c>
      <c r="D32" s="7" t="s">
        <v>16</v>
      </c>
      <c r="E32" s="8" t="s">
        <v>14</v>
      </c>
      <c r="F32" s="24"/>
      <c r="G32" t="s">
        <v>10</v>
      </c>
      <c r="H32" s="7" t="s">
        <v>16</v>
      </c>
    </row>
    <row r="33" spans="1:8" ht="27.95" customHeight="1">
      <c r="A33" s="21">
        <v>24</v>
      </c>
      <c r="B33" s="22" t="s">
        <v>45</v>
      </c>
      <c r="C33" s="23" t="s">
        <v>47</v>
      </c>
      <c r="D33" s="7" t="s">
        <v>16</v>
      </c>
      <c r="E33" s="8" t="s">
        <v>14</v>
      </c>
      <c r="F33" s="24"/>
      <c r="G33" t="s">
        <v>10</v>
      </c>
      <c r="H33" s="7" t="s">
        <v>16</v>
      </c>
    </row>
    <row r="34" spans="1:8" ht="27.95" customHeight="1">
      <c r="A34" s="21">
        <v>25</v>
      </c>
      <c r="B34" s="22" t="s">
        <v>45</v>
      </c>
      <c r="C34" s="23" t="s">
        <v>48</v>
      </c>
      <c r="D34" s="7" t="s">
        <v>16</v>
      </c>
      <c r="E34" s="8" t="s">
        <v>14</v>
      </c>
      <c r="F34" s="24"/>
      <c r="G34" t="s">
        <v>10</v>
      </c>
      <c r="H34" s="7" t="s">
        <v>16</v>
      </c>
    </row>
    <row r="35" spans="1:8" ht="27.95" customHeight="1">
      <c r="A35" s="21">
        <v>26</v>
      </c>
      <c r="B35" s="22" t="s">
        <v>45</v>
      </c>
      <c r="C35" s="23" t="s">
        <v>49</v>
      </c>
      <c r="D35" s="7" t="s">
        <v>16</v>
      </c>
      <c r="E35" s="8" t="s">
        <v>14</v>
      </c>
      <c r="F35" s="24"/>
      <c r="G35" t="s">
        <v>10</v>
      </c>
      <c r="H35" s="7" t="s">
        <v>16</v>
      </c>
    </row>
    <row r="36" spans="1:8" ht="27.95" customHeight="1">
      <c r="A36" s="21">
        <v>27</v>
      </c>
      <c r="B36" s="22" t="s">
        <v>45</v>
      </c>
      <c r="C36" s="23" t="s">
        <v>50</v>
      </c>
      <c r="D36" s="7" t="s">
        <v>16</v>
      </c>
      <c r="E36" s="8" t="s">
        <v>14</v>
      </c>
      <c r="F36" s="24"/>
      <c r="G36" t="s">
        <v>10</v>
      </c>
      <c r="H36" s="7" t="s">
        <v>16</v>
      </c>
    </row>
    <row r="37" spans="1:8" ht="27.95" customHeight="1">
      <c r="A37" s="21">
        <v>28</v>
      </c>
      <c r="B37" s="22" t="s">
        <v>45</v>
      </c>
      <c r="C37" s="23" t="s">
        <v>51</v>
      </c>
      <c r="D37" s="7" t="s">
        <v>16</v>
      </c>
      <c r="E37" s="8" t="s">
        <v>14</v>
      </c>
      <c r="F37" s="24"/>
      <c r="G37" t="s">
        <v>10</v>
      </c>
      <c r="H37" s="7" t="s">
        <v>16</v>
      </c>
    </row>
    <row r="38" spans="1:8" ht="27.95" customHeight="1">
      <c r="A38" s="21">
        <v>29</v>
      </c>
      <c r="B38" s="22" t="s">
        <v>45</v>
      </c>
      <c r="C38" s="23" t="s">
        <v>52</v>
      </c>
      <c r="D38" s="7" t="s">
        <v>16</v>
      </c>
      <c r="E38" s="8" t="s">
        <v>14</v>
      </c>
      <c r="F38" s="24"/>
      <c r="G38" t="s">
        <v>10</v>
      </c>
      <c r="H38" s="7" t="s">
        <v>16</v>
      </c>
    </row>
    <row r="39" spans="1:8" ht="20.100000000000001" customHeight="1">
      <c r="A39" s="108" t="s">
        <v>53</v>
      </c>
      <c r="B39" s="117"/>
      <c r="C39" s="117"/>
      <c r="D39" s="117"/>
      <c r="E39" s="117"/>
      <c r="F39" s="117"/>
      <c r="G39" t="s">
        <v>10</v>
      </c>
      <c r="H39" s="93"/>
    </row>
    <row r="40" spans="1:8" ht="27.95" customHeight="1">
      <c r="A40" s="26">
        <v>30</v>
      </c>
      <c r="B40" s="27" t="s">
        <v>54</v>
      </c>
      <c r="C40" s="28" t="s">
        <v>55</v>
      </c>
      <c r="D40" s="7" t="s">
        <v>16</v>
      </c>
      <c r="E40" s="8" t="s">
        <v>14</v>
      </c>
      <c r="F40" s="29"/>
      <c r="G40" t="s">
        <v>10</v>
      </c>
      <c r="H40" s="7" t="s">
        <v>16</v>
      </c>
    </row>
    <row r="41" spans="1:8" ht="27.95" customHeight="1">
      <c r="A41" s="26">
        <v>31</v>
      </c>
      <c r="B41" s="27" t="s">
        <v>54</v>
      </c>
      <c r="C41" s="28" t="s">
        <v>56</v>
      </c>
      <c r="D41" s="7" t="s">
        <v>16</v>
      </c>
      <c r="E41" s="8" t="s">
        <v>14</v>
      </c>
      <c r="F41" s="29"/>
      <c r="G41" t="s">
        <v>10</v>
      </c>
      <c r="H41" s="7" t="s">
        <v>16</v>
      </c>
    </row>
    <row r="42" spans="1:8" ht="27.95" customHeight="1">
      <c r="A42" s="26">
        <v>32</v>
      </c>
      <c r="B42" s="27" t="s">
        <v>54</v>
      </c>
      <c r="C42" s="28" t="s">
        <v>57</v>
      </c>
      <c r="D42" s="7" t="s">
        <v>16</v>
      </c>
      <c r="E42" s="8" t="s">
        <v>14</v>
      </c>
      <c r="F42" s="29"/>
      <c r="G42" t="s">
        <v>10</v>
      </c>
      <c r="H42" s="7" t="s">
        <v>16</v>
      </c>
    </row>
    <row r="43" spans="1:8" ht="27.95" customHeight="1">
      <c r="A43" s="26">
        <v>33</v>
      </c>
      <c r="B43" s="27" t="s">
        <v>54</v>
      </c>
      <c r="C43" s="28" t="s">
        <v>58</v>
      </c>
      <c r="D43" s="7" t="s">
        <v>16</v>
      </c>
      <c r="E43" s="8" t="s">
        <v>14</v>
      </c>
      <c r="F43" s="29"/>
      <c r="G43" t="s">
        <v>10</v>
      </c>
      <c r="H43" s="7" t="s">
        <v>16</v>
      </c>
    </row>
    <row r="44" spans="1:8" ht="27.95" customHeight="1">
      <c r="A44" s="26">
        <v>34</v>
      </c>
      <c r="B44" s="27" t="s">
        <v>54</v>
      </c>
      <c r="C44" s="28" t="s">
        <v>59</v>
      </c>
      <c r="D44" s="7" t="s">
        <v>16</v>
      </c>
      <c r="E44" s="8" t="s">
        <v>14</v>
      </c>
      <c r="F44" s="29"/>
      <c r="G44" t="s">
        <v>10</v>
      </c>
      <c r="H44" s="7" t="s">
        <v>16</v>
      </c>
    </row>
    <row r="45" spans="1:8" ht="27.95" customHeight="1">
      <c r="A45" s="26">
        <v>35</v>
      </c>
      <c r="B45" s="27" t="s">
        <v>54</v>
      </c>
      <c r="C45" s="28" t="s">
        <v>60</v>
      </c>
      <c r="D45" s="7" t="s">
        <v>16</v>
      </c>
      <c r="E45" s="8" t="s">
        <v>14</v>
      </c>
      <c r="F45" s="29"/>
      <c r="G45" t="s">
        <v>10</v>
      </c>
      <c r="H45" s="7" t="s">
        <v>16</v>
      </c>
    </row>
    <row r="46" spans="1:8" ht="20.100000000000001" customHeight="1">
      <c r="A46" s="109" t="s">
        <v>61</v>
      </c>
      <c r="B46" s="118"/>
      <c r="C46" s="118"/>
      <c r="D46" s="118"/>
      <c r="E46" s="118"/>
      <c r="F46" s="118"/>
      <c r="G46" t="s">
        <v>10</v>
      </c>
      <c r="H46" s="94"/>
    </row>
    <row r="47" spans="1:8" ht="27.95" customHeight="1">
      <c r="A47" s="31">
        <v>36</v>
      </c>
      <c r="B47" s="32" t="s">
        <v>62</v>
      </c>
      <c r="C47" s="33" t="s">
        <v>63</v>
      </c>
      <c r="D47" s="7" t="s">
        <v>16</v>
      </c>
      <c r="E47" s="8" t="s">
        <v>14</v>
      </c>
      <c r="F47" s="34"/>
      <c r="G47" t="s">
        <v>10</v>
      </c>
      <c r="H47" s="7" t="s">
        <v>16</v>
      </c>
    </row>
    <row r="48" spans="1:8" ht="27.95" customHeight="1">
      <c r="A48" s="31">
        <v>37</v>
      </c>
      <c r="B48" s="32" t="s">
        <v>62</v>
      </c>
      <c r="C48" s="33" t="s">
        <v>64</v>
      </c>
      <c r="D48" s="7" t="s">
        <v>16</v>
      </c>
      <c r="E48" s="8" t="s">
        <v>14</v>
      </c>
      <c r="F48" s="34"/>
      <c r="G48" t="s">
        <v>10</v>
      </c>
      <c r="H48" s="7" t="s">
        <v>16</v>
      </c>
    </row>
    <row r="49" spans="1:8" ht="27.95" customHeight="1">
      <c r="A49" s="31">
        <v>38</v>
      </c>
      <c r="B49" s="32" t="s">
        <v>62</v>
      </c>
      <c r="C49" s="33" t="s">
        <v>65</v>
      </c>
      <c r="D49" s="7" t="s">
        <v>16</v>
      </c>
      <c r="E49" s="8" t="s">
        <v>14</v>
      </c>
      <c r="F49" s="34"/>
      <c r="G49" t="s">
        <v>10</v>
      </c>
      <c r="H49" s="7" t="s">
        <v>16</v>
      </c>
    </row>
    <row r="50" spans="1:8" ht="27.95" customHeight="1">
      <c r="A50" s="31">
        <v>39</v>
      </c>
      <c r="B50" s="32" t="s">
        <v>62</v>
      </c>
      <c r="C50" s="33" t="s">
        <v>66</v>
      </c>
      <c r="D50" s="7" t="s">
        <v>16</v>
      </c>
      <c r="E50" s="8" t="s">
        <v>14</v>
      </c>
      <c r="F50" s="34"/>
      <c r="G50" t="s">
        <v>10</v>
      </c>
      <c r="H50" s="7" t="s">
        <v>16</v>
      </c>
    </row>
    <row r="51" spans="1:8" ht="27.95" customHeight="1">
      <c r="A51" s="31">
        <v>40</v>
      </c>
      <c r="B51" s="32" t="s">
        <v>62</v>
      </c>
      <c r="C51" s="33" t="s">
        <v>67</v>
      </c>
      <c r="D51" s="7" t="s">
        <v>16</v>
      </c>
      <c r="E51" s="8" t="s">
        <v>14</v>
      </c>
      <c r="F51" s="34"/>
      <c r="G51" t="s">
        <v>10</v>
      </c>
      <c r="H51" s="7" t="s">
        <v>16</v>
      </c>
    </row>
    <row r="52" spans="1:8" ht="27.95" customHeight="1">
      <c r="A52" s="31">
        <v>41</v>
      </c>
      <c r="B52" s="32" t="s">
        <v>62</v>
      </c>
      <c r="C52" s="33" t="s">
        <v>68</v>
      </c>
      <c r="D52" s="7" t="s">
        <v>16</v>
      </c>
      <c r="E52" s="8" t="s">
        <v>14</v>
      </c>
      <c r="F52" s="34"/>
      <c r="G52" t="s">
        <v>10</v>
      </c>
      <c r="H52" s="7" t="s">
        <v>16</v>
      </c>
    </row>
    <row r="53" spans="1:8" ht="27.95" customHeight="1">
      <c r="A53" s="31">
        <v>42</v>
      </c>
      <c r="B53" s="32" t="s">
        <v>69</v>
      </c>
      <c r="C53" s="13" t="s">
        <v>33</v>
      </c>
      <c r="D53" s="7" t="s">
        <v>16</v>
      </c>
      <c r="E53" s="8" t="s">
        <v>14</v>
      </c>
      <c r="F53" s="34"/>
      <c r="G53" t="s">
        <v>10</v>
      </c>
      <c r="H53" s="7" t="s">
        <v>16</v>
      </c>
    </row>
    <row r="54" spans="1:8" ht="27.95" customHeight="1">
      <c r="A54" s="31">
        <v>43</v>
      </c>
      <c r="B54" s="32" t="s">
        <v>69</v>
      </c>
      <c r="C54" s="33" t="s">
        <v>70</v>
      </c>
      <c r="D54" s="7" t="s">
        <v>16</v>
      </c>
      <c r="E54" s="8" t="s">
        <v>14</v>
      </c>
      <c r="F54" s="34"/>
      <c r="G54" t="s">
        <v>10</v>
      </c>
      <c r="H54" s="7" t="s">
        <v>16</v>
      </c>
    </row>
    <row r="55" spans="1:8" ht="20.100000000000001" customHeight="1">
      <c r="A55" s="110" t="s">
        <v>71</v>
      </c>
      <c r="B55" s="119"/>
      <c r="C55" s="119"/>
      <c r="D55" s="119"/>
      <c r="E55" s="119"/>
      <c r="F55" s="119"/>
      <c r="G55" t="s">
        <v>10</v>
      </c>
      <c r="H55" s="95"/>
    </row>
    <row r="56" spans="1:8" ht="27.95" customHeight="1">
      <c r="A56" s="36">
        <v>44</v>
      </c>
      <c r="B56" s="37" t="s">
        <v>72</v>
      </c>
      <c r="C56" s="38" t="s">
        <v>73</v>
      </c>
      <c r="D56" s="7" t="s">
        <v>16</v>
      </c>
      <c r="E56" s="8" t="s">
        <v>14</v>
      </c>
      <c r="F56" s="39"/>
      <c r="G56" t="s">
        <v>10</v>
      </c>
      <c r="H56" s="7" t="s">
        <v>16</v>
      </c>
    </row>
    <row r="57" spans="1:8" ht="27.95" customHeight="1">
      <c r="A57" s="36">
        <v>45</v>
      </c>
      <c r="B57" s="37" t="s">
        <v>72</v>
      </c>
      <c r="C57" s="38" t="s">
        <v>74</v>
      </c>
      <c r="D57" s="7" t="s">
        <v>16</v>
      </c>
      <c r="E57" s="8" t="s">
        <v>14</v>
      </c>
      <c r="F57" s="39"/>
      <c r="G57" t="s">
        <v>10</v>
      </c>
      <c r="H57" s="7" t="s">
        <v>16</v>
      </c>
    </row>
    <row r="58" spans="1:8" ht="27.95" customHeight="1">
      <c r="A58" s="36">
        <v>46</v>
      </c>
      <c r="B58" s="37" t="s">
        <v>72</v>
      </c>
      <c r="C58" s="38" t="s">
        <v>75</v>
      </c>
      <c r="D58" s="7" t="s">
        <v>16</v>
      </c>
      <c r="E58" s="8" t="s">
        <v>14</v>
      </c>
      <c r="F58" s="39"/>
      <c r="G58" t="s">
        <v>10</v>
      </c>
      <c r="H58" s="7" t="s">
        <v>16</v>
      </c>
    </row>
    <row r="59" spans="1:8" ht="27.95" customHeight="1">
      <c r="A59" s="36">
        <v>47</v>
      </c>
      <c r="B59" s="37" t="s">
        <v>72</v>
      </c>
      <c r="C59" s="38" t="s">
        <v>76</v>
      </c>
      <c r="D59" s="7" t="s">
        <v>16</v>
      </c>
      <c r="E59" s="8" t="s">
        <v>14</v>
      </c>
      <c r="F59" s="39"/>
      <c r="G59" t="s">
        <v>10</v>
      </c>
      <c r="H59" s="7" t="s">
        <v>16</v>
      </c>
    </row>
    <row r="60" spans="1:8" ht="27.95" customHeight="1">
      <c r="A60" s="36">
        <v>48</v>
      </c>
      <c r="B60" s="37" t="s">
        <v>72</v>
      </c>
      <c r="C60" s="38" t="s">
        <v>77</v>
      </c>
      <c r="D60" s="7" t="s">
        <v>16</v>
      </c>
      <c r="E60" s="8" t="s">
        <v>14</v>
      </c>
      <c r="F60" s="39"/>
      <c r="G60" t="s">
        <v>10</v>
      </c>
      <c r="H60" s="7" t="s">
        <v>16</v>
      </c>
    </row>
    <row r="61" spans="1:8" ht="27.95" customHeight="1">
      <c r="A61" s="36">
        <v>49</v>
      </c>
      <c r="B61" s="37" t="s">
        <v>72</v>
      </c>
      <c r="C61" s="38" t="s">
        <v>78</v>
      </c>
      <c r="D61" s="7" t="s">
        <v>16</v>
      </c>
      <c r="E61" s="8" t="s">
        <v>14</v>
      </c>
      <c r="F61" s="39"/>
      <c r="G61" t="s">
        <v>10</v>
      </c>
      <c r="H61" s="7" t="s">
        <v>16</v>
      </c>
    </row>
    <row r="62" spans="1:8" ht="27.95" customHeight="1">
      <c r="A62" s="36">
        <v>50</v>
      </c>
      <c r="B62" s="37" t="s">
        <v>72</v>
      </c>
      <c r="C62" s="38" t="s">
        <v>79</v>
      </c>
      <c r="D62" s="7" t="s">
        <v>16</v>
      </c>
      <c r="E62" s="8" t="s">
        <v>14</v>
      </c>
      <c r="F62" s="39"/>
      <c r="G62" t="s">
        <v>10</v>
      </c>
      <c r="H62" s="7" t="s">
        <v>16</v>
      </c>
    </row>
    <row r="63" spans="1:8" ht="20.100000000000001" customHeight="1">
      <c r="A63" s="101" t="s">
        <v>80</v>
      </c>
      <c r="B63" s="120"/>
      <c r="C63" s="120"/>
      <c r="D63" s="120"/>
      <c r="E63" s="120"/>
      <c r="F63" s="120"/>
      <c r="G63" t="s">
        <v>10</v>
      </c>
      <c r="H63" s="96"/>
    </row>
    <row r="64" spans="1:8" ht="27.95" customHeight="1">
      <c r="A64" s="41">
        <v>51</v>
      </c>
      <c r="B64" s="42" t="s">
        <v>81</v>
      </c>
      <c r="C64" s="43" t="s">
        <v>82</v>
      </c>
      <c r="D64" s="7" t="s">
        <v>16</v>
      </c>
      <c r="E64" s="8" t="s">
        <v>14</v>
      </c>
      <c r="F64" s="44"/>
      <c r="G64" t="s">
        <v>10</v>
      </c>
      <c r="H64" s="7" t="s">
        <v>16</v>
      </c>
    </row>
    <row r="65" spans="1:8" ht="27.95" customHeight="1">
      <c r="A65" s="41">
        <v>52</v>
      </c>
      <c r="B65" s="42" t="s">
        <v>81</v>
      </c>
      <c r="C65" s="43" t="s">
        <v>83</v>
      </c>
      <c r="D65" s="7" t="s">
        <v>16</v>
      </c>
      <c r="E65" s="8" t="s">
        <v>14</v>
      </c>
      <c r="F65" s="44"/>
      <c r="G65" t="s">
        <v>10</v>
      </c>
      <c r="H65" s="7" t="s">
        <v>16</v>
      </c>
    </row>
    <row r="66" spans="1:8" ht="27.95" customHeight="1">
      <c r="A66" s="41">
        <v>53</v>
      </c>
      <c r="B66" s="42" t="s">
        <v>81</v>
      </c>
      <c r="C66" s="43" t="s">
        <v>84</v>
      </c>
      <c r="D66" s="7" t="s">
        <v>16</v>
      </c>
      <c r="E66" s="8" t="s">
        <v>14</v>
      </c>
      <c r="F66" s="44"/>
      <c r="G66" t="s">
        <v>10</v>
      </c>
      <c r="H66" s="7" t="s">
        <v>16</v>
      </c>
    </row>
    <row r="67" spans="1:8" ht="27.95" customHeight="1">
      <c r="A67" s="41">
        <v>54</v>
      </c>
      <c r="B67" s="42" t="s">
        <v>81</v>
      </c>
      <c r="C67" s="43" t="s">
        <v>85</v>
      </c>
      <c r="D67" s="7" t="s">
        <v>16</v>
      </c>
      <c r="E67" s="8" t="s">
        <v>14</v>
      </c>
      <c r="F67" s="44"/>
      <c r="G67" t="s">
        <v>10</v>
      </c>
      <c r="H67" s="7" t="s">
        <v>16</v>
      </c>
    </row>
    <row r="68" spans="1:8" ht="20.100000000000001" customHeight="1">
      <c r="A68" s="111" t="s">
        <v>86</v>
      </c>
      <c r="B68" s="121"/>
      <c r="C68" s="121"/>
      <c r="D68" s="121"/>
      <c r="E68" s="121"/>
      <c r="F68" s="121"/>
      <c r="G68" t="s">
        <v>10</v>
      </c>
      <c r="H68" s="97"/>
    </row>
    <row r="69" spans="1:8" ht="27.95" customHeight="1">
      <c r="A69" s="46">
        <v>55</v>
      </c>
      <c r="B69" s="47" t="s">
        <v>87</v>
      </c>
      <c r="C69" s="48" t="s">
        <v>88</v>
      </c>
      <c r="D69" s="7" t="s">
        <v>16</v>
      </c>
      <c r="E69" s="8" t="s">
        <v>14</v>
      </c>
      <c r="F69" s="49"/>
      <c r="G69" t="s">
        <v>10</v>
      </c>
      <c r="H69" s="7" t="s">
        <v>16</v>
      </c>
    </row>
    <row r="70" spans="1:8">
      <c r="A70" s="101" t="s">
        <v>89</v>
      </c>
      <c r="B70" s="120"/>
      <c r="C70" s="120"/>
      <c r="D70" s="120"/>
      <c r="E70" s="120"/>
      <c r="F70" s="120"/>
      <c r="G70" t="s">
        <v>10</v>
      </c>
      <c r="H70" s="96"/>
    </row>
    <row r="71" spans="1:8" ht="25.5">
      <c r="A71" s="41">
        <v>56</v>
      </c>
      <c r="B71" s="42" t="s">
        <v>90</v>
      </c>
      <c r="C71" s="43" t="s">
        <v>91</v>
      </c>
      <c r="D71" s="7" t="s">
        <v>16</v>
      </c>
      <c r="E71" s="8" t="s">
        <v>14</v>
      </c>
      <c r="F71" s="44"/>
      <c r="G71" t="s">
        <v>10</v>
      </c>
      <c r="H71" s="7" t="s">
        <v>16</v>
      </c>
    </row>
    <row r="72" spans="1:8" ht="25.5">
      <c r="A72" s="41">
        <v>57</v>
      </c>
      <c r="B72" s="42" t="s">
        <v>90</v>
      </c>
      <c r="C72" s="43" t="s">
        <v>92</v>
      </c>
      <c r="D72" s="7" t="s">
        <v>16</v>
      </c>
      <c r="E72" s="8" t="s">
        <v>14</v>
      </c>
      <c r="F72" s="44"/>
      <c r="G72" t="s">
        <v>10</v>
      </c>
      <c r="H72" s="7" t="s">
        <v>16</v>
      </c>
    </row>
  </sheetData>
  <mergeCells count="12">
    <mergeCell ref="A70:F70"/>
    <mergeCell ref="A1:F1"/>
    <mergeCell ref="A2:F2"/>
    <mergeCell ref="A5:F5"/>
    <mergeCell ref="A12:F12"/>
    <mergeCell ref="A23:F23"/>
    <mergeCell ref="A31:F31"/>
    <mergeCell ref="A39:F39"/>
    <mergeCell ref="A46:F46"/>
    <mergeCell ref="A55:F55"/>
    <mergeCell ref="A63:F63"/>
    <mergeCell ref="A68:F68"/>
  </mergeCells>
  <dataValidations count="2">
    <dataValidation type="list" allowBlank="1" showInputMessage="1" showErrorMessage="1" sqref="E13:E22 E6:E11 E24:E30 E32:E38 E40:E45 E47:E54 E56:E62 E64:E67 E69 E71:E72" xr:uid="{0DF43ED4-7129-4BC5-8CF0-2F114DDB15DD}">
      <formula1>"HOD, Accountant"</formula1>
    </dataValidation>
    <dataValidation type="list" allowBlank="1" sqref="H5:H72 D5:D72" xr:uid="{99D82478-37EF-4A42-97E3-EA3C653729D5}">
      <formula1>"Pending,In Progress,Complete,N/A"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workbookViewId="0">
      <pane ySplit="4" topLeftCell="A5" activePane="bottomLeft" state="frozen"/>
      <selection pane="bottomLeft" activeCell="A2" sqref="A2:F2"/>
    </sheetView>
  </sheetViews>
  <sheetFormatPr defaultRowHeight="15"/>
  <cols>
    <col min="1" max="1" width="5" customWidth="1"/>
    <col min="2" max="2" width="28" customWidth="1"/>
    <col min="3" max="3" width="62" customWidth="1"/>
    <col min="4" max="4" width="14" customWidth="1"/>
    <col min="5" max="5" width="20" customWidth="1"/>
    <col min="6" max="6" width="30" customWidth="1"/>
    <col min="7" max="7" width="17.7109375" customWidth="1"/>
  </cols>
  <sheetData>
    <row r="1" spans="1:8" ht="36" customHeight="1">
      <c r="A1" s="102" t="s">
        <v>0</v>
      </c>
      <c r="B1" s="112"/>
      <c r="C1" s="112"/>
      <c r="D1" s="112"/>
      <c r="E1" s="112"/>
      <c r="F1" s="112"/>
    </row>
    <row r="2" spans="1:8" ht="21.95" customHeight="1">
      <c r="A2" s="103" t="s">
        <v>93</v>
      </c>
      <c r="B2" s="112"/>
      <c r="C2" s="112"/>
      <c r="D2" s="112"/>
      <c r="E2" s="112"/>
      <c r="F2" s="112"/>
    </row>
    <row r="3" spans="1:8" ht="8.1" customHeight="1"/>
    <row r="4" spans="1:8" ht="21.95" customHeight="1">
      <c r="A4" s="1" t="s">
        <v>2</v>
      </c>
      <c r="B4" s="1" t="s">
        <v>3</v>
      </c>
      <c r="C4" s="2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5</v>
      </c>
    </row>
    <row r="5" spans="1:8" ht="20.100000000000001" customHeight="1">
      <c r="A5" s="104" t="s">
        <v>9</v>
      </c>
      <c r="B5" s="113"/>
      <c r="C5" s="113"/>
      <c r="D5" s="113"/>
      <c r="E5" s="113"/>
      <c r="F5" s="113"/>
      <c r="G5" t="s">
        <v>10</v>
      </c>
      <c r="H5" s="89"/>
    </row>
    <row r="6" spans="1:8" ht="39" customHeight="1">
      <c r="A6" s="4">
        <v>1</v>
      </c>
      <c r="B6" s="5" t="s">
        <v>11</v>
      </c>
      <c r="C6" s="6" t="s">
        <v>12</v>
      </c>
      <c r="D6" s="7" t="s">
        <v>25</v>
      </c>
      <c r="E6" s="8" t="s">
        <v>14</v>
      </c>
      <c r="F6" s="9" t="s">
        <v>94</v>
      </c>
      <c r="G6" t="s">
        <v>10</v>
      </c>
      <c r="H6" s="7" t="s">
        <v>25</v>
      </c>
    </row>
    <row r="7" spans="1:8" ht="27.95" customHeight="1">
      <c r="A7" s="4">
        <v>2</v>
      </c>
      <c r="B7" s="5" t="s">
        <v>11</v>
      </c>
      <c r="C7" s="6" t="s">
        <v>17</v>
      </c>
      <c r="D7" s="7" t="s">
        <v>25</v>
      </c>
      <c r="E7" s="8" t="s">
        <v>14</v>
      </c>
      <c r="F7" s="9" t="s">
        <v>95</v>
      </c>
      <c r="G7" t="s">
        <v>10</v>
      </c>
      <c r="H7" s="7" t="s">
        <v>25</v>
      </c>
    </row>
    <row r="8" spans="1:8" ht="27.95" customHeight="1">
      <c r="A8" s="4">
        <v>3</v>
      </c>
      <c r="B8" s="5" t="s">
        <v>11</v>
      </c>
      <c r="C8" s="6" t="s">
        <v>18</v>
      </c>
      <c r="D8" s="7" t="s">
        <v>25</v>
      </c>
      <c r="E8" s="8" t="s">
        <v>14</v>
      </c>
      <c r="F8" s="9"/>
      <c r="G8" t="s">
        <v>10</v>
      </c>
      <c r="H8" s="7" t="s">
        <v>25</v>
      </c>
    </row>
    <row r="9" spans="1:8" ht="27.95" customHeight="1">
      <c r="A9" s="4">
        <v>4</v>
      </c>
      <c r="B9" s="5" t="s">
        <v>11</v>
      </c>
      <c r="C9" s="6" t="s">
        <v>19</v>
      </c>
      <c r="D9" s="7" t="s">
        <v>25</v>
      </c>
      <c r="E9" s="8" t="s">
        <v>14</v>
      </c>
      <c r="F9" s="9"/>
      <c r="G9" t="s">
        <v>10</v>
      </c>
      <c r="H9" s="7" t="s">
        <v>25</v>
      </c>
    </row>
    <row r="10" spans="1:8" ht="27.95" customHeight="1">
      <c r="A10" s="4">
        <v>5</v>
      </c>
      <c r="B10" s="5" t="s">
        <v>11</v>
      </c>
      <c r="C10" s="6" t="s">
        <v>20</v>
      </c>
      <c r="D10" s="7" t="s">
        <v>25</v>
      </c>
      <c r="E10" s="8" t="s">
        <v>14</v>
      </c>
      <c r="F10" s="9"/>
      <c r="G10" t="s">
        <v>10</v>
      </c>
      <c r="H10" s="7" t="s">
        <v>25</v>
      </c>
    </row>
    <row r="11" spans="1:8" ht="27.95" customHeight="1">
      <c r="A11" s="4">
        <v>6</v>
      </c>
      <c r="B11" s="5" t="s">
        <v>11</v>
      </c>
      <c r="C11" s="6" t="s">
        <v>21</v>
      </c>
      <c r="D11" s="7" t="s">
        <v>25</v>
      </c>
      <c r="E11" s="8" t="s">
        <v>14</v>
      </c>
      <c r="F11" s="9"/>
      <c r="G11" t="s">
        <v>10</v>
      </c>
      <c r="H11" s="7" t="s">
        <v>25</v>
      </c>
    </row>
    <row r="12" spans="1:8" ht="20.100000000000001" customHeight="1">
      <c r="A12" s="105" t="s">
        <v>22</v>
      </c>
      <c r="B12" s="114"/>
      <c r="C12" s="114"/>
      <c r="D12" s="114"/>
      <c r="E12" s="114"/>
      <c r="F12" s="114"/>
      <c r="H12" s="90"/>
    </row>
    <row r="13" spans="1:8" ht="27.95" customHeight="1">
      <c r="A13" s="11">
        <v>7</v>
      </c>
      <c r="B13" s="12" t="s">
        <v>23</v>
      </c>
      <c r="C13" s="13" t="s">
        <v>24</v>
      </c>
      <c r="D13" s="7" t="s">
        <v>25</v>
      </c>
      <c r="E13" s="8" t="s">
        <v>14</v>
      </c>
      <c r="F13" s="14"/>
      <c r="G13" t="s">
        <v>10</v>
      </c>
      <c r="H13" s="7" t="s">
        <v>25</v>
      </c>
    </row>
    <row r="14" spans="1:8" ht="27.95" customHeight="1">
      <c r="A14" s="11">
        <v>8</v>
      </c>
      <c r="B14" s="12" t="s">
        <v>23</v>
      </c>
      <c r="C14" s="13" t="s">
        <v>26</v>
      </c>
      <c r="D14" s="7" t="s">
        <v>25</v>
      </c>
      <c r="E14" s="8" t="s">
        <v>14</v>
      </c>
      <c r="F14" s="14"/>
      <c r="G14" t="s">
        <v>10</v>
      </c>
      <c r="H14" s="7" t="s">
        <v>25</v>
      </c>
    </row>
    <row r="15" spans="1:8" ht="27.95" customHeight="1">
      <c r="A15" s="11">
        <v>9</v>
      </c>
      <c r="B15" s="12" t="s">
        <v>23</v>
      </c>
      <c r="C15" s="13" t="s">
        <v>27</v>
      </c>
      <c r="D15" s="7" t="s">
        <v>13</v>
      </c>
      <c r="E15" s="8" t="s">
        <v>14</v>
      </c>
      <c r="F15" s="14"/>
      <c r="G15" t="s">
        <v>10</v>
      </c>
      <c r="H15" s="7" t="s">
        <v>25</v>
      </c>
    </row>
    <row r="16" spans="1:8" ht="27.95" customHeight="1">
      <c r="A16" s="11">
        <v>10</v>
      </c>
      <c r="B16" s="12" t="s">
        <v>23</v>
      </c>
      <c r="C16" s="13" t="s">
        <v>28</v>
      </c>
      <c r="D16" s="7" t="s">
        <v>13</v>
      </c>
      <c r="E16" s="8" t="s">
        <v>14</v>
      </c>
      <c r="F16" s="14"/>
      <c r="G16" t="s">
        <v>10</v>
      </c>
      <c r="H16" s="7" t="s">
        <v>25</v>
      </c>
    </row>
    <row r="17" spans="1:8" ht="27.95" customHeight="1">
      <c r="A17" s="11">
        <v>11</v>
      </c>
      <c r="B17" s="12" t="s">
        <v>23</v>
      </c>
      <c r="C17" s="13" t="s">
        <v>29</v>
      </c>
      <c r="D17" s="7" t="s">
        <v>13</v>
      </c>
      <c r="E17" s="8" t="s">
        <v>14</v>
      </c>
      <c r="F17" s="14"/>
      <c r="G17" t="s">
        <v>10</v>
      </c>
      <c r="H17" s="7" t="s">
        <v>25</v>
      </c>
    </row>
    <row r="18" spans="1:8" ht="27.95" customHeight="1">
      <c r="A18" s="11">
        <v>12</v>
      </c>
      <c r="B18" s="12" t="s">
        <v>23</v>
      </c>
      <c r="C18" s="13" t="s">
        <v>30</v>
      </c>
      <c r="D18" s="7" t="s">
        <v>25</v>
      </c>
      <c r="E18" s="8" t="s">
        <v>14</v>
      </c>
      <c r="F18" s="14"/>
      <c r="G18" t="s">
        <v>10</v>
      </c>
      <c r="H18" s="7" t="s">
        <v>25</v>
      </c>
    </row>
    <row r="19" spans="1:8" ht="27.95" customHeight="1">
      <c r="A19" s="11">
        <v>13</v>
      </c>
      <c r="B19" s="12" t="s">
        <v>23</v>
      </c>
      <c r="C19" s="13" t="s">
        <v>31</v>
      </c>
      <c r="D19" s="7" t="s">
        <v>16</v>
      </c>
      <c r="E19" s="8" t="s">
        <v>14</v>
      </c>
      <c r="F19" s="14"/>
      <c r="G19" t="s">
        <v>10</v>
      </c>
      <c r="H19" s="7" t="s">
        <v>25</v>
      </c>
    </row>
    <row r="20" spans="1:8" ht="27.95" customHeight="1">
      <c r="A20" s="11">
        <v>14</v>
      </c>
      <c r="B20" s="12" t="s">
        <v>23</v>
      </c>
      <c r="C20" s="13" t="s">
        <v>32</v>
      </c>
      <c r="D20" s="7" t="s">
        <v>25</v>
      </c>
      <c r="E20" s="8" t="s">
        <v>14</v>
      </c>
      <c r="F20" s="14"/>
      <c r="G20" t="s">
        <v>10</v>
      </c>
      <c r="H20" s="7" t="s">
        <v>25</v>
      </c>
    </row>
    <row r="21" spans="1:8" ht="27.95" customHeight="1">
      <c r="A21" s="11">
        <v>15</v>
      </c>
      <c r="B21" s="12" t="s">
        <v>23</v>
      </c>
      <c r="C21" s="13" t="s">
        <v>33</v>
      </c>
      <c r="D21" s="7" t="s">
        <v>25</v>
      </c>
      <c r="E21" s="8" t="s">
        <v>14</v>
      </c>
      <c r="F21" s="14"/>
      <c r="G21" t="s">
        <v>10</v>
      </c>
      <c r="H21" s="7" t="s">
        <v>25</v>
      </c>
    </row>
    <row r="22" spans="1:8" ht="27.95" customHeight="1">
      <c r="A22" s="11">
        <v>16</v>
      </c>
      <c r="B22" s="12" t="s">
        <v>23</v>
      </c>
      <c r="C22" s="13" t="s">
        <v>34</v>
      </c>
      <c r="D22" s="7" t="s">
        <v>25</v>
      </c>
      <c r="E22" s="8" t="s">
        <v>14</v>
      </c>
      <c r="F22" s="14"/>
      <c r="G22" t="s">
        <v>10</v>
      </c>
      <c r="H22" s="7" t="s">
        <v>25</v>
      </c>
    </row>
    <row r="23" spans="1:8" ht="20.100000000000001" customHeight="1">
      <c r="A23" s="106" t="s">
        <v>35</v>
      </c>
      <c r="B23" s="115"/>
      <c r="C23" s="115"/>
      <c r="D23" s="115"/>
      <c r="E23" s="115"/>
      <c r="F23" s="115"/>
      <c r="H23" s="91"/>
    </row>
    <row r="24" spans="1:8" ht="27.95" customHeight="1">
      <c r="A24" s="16">
        <v>17</v>
      </c>
      <c r="B24" s="17" t="s">
        <v>36</v>
      </c>
      <c r="C24" s="18" t="s">
        <v>37</v>
      </c>
      <c r="D24" s="7" t="s">
        <v>25</v>
      </c>
      <c r="E24" s="8" t="s">
        <v>14</v>
      </c>
      <c r="F24" s="19"/>
      <c r="G24" t="s">
        <v>10</v>
      </c>
      <c r="H24" s="7" t="s">
        <v>25</v>
      </c>
    </row>
    <row r="25" spans="1:8" ht="27.95" customHeight="1">
      <c r="A25" s="16">
        <v>18</v>
      </c>
      <c r="B25" s="17" t="s">
        <v>36</v>
      </c>
      <c r="C25" s="18" t="s">
        <v>38</v>
      </c>
      <c r="D25" s="7" t="s">
        <v>25</v>
      </c>
      <c r="E25" s="8" t="s">
        <v>14</v>
      </c>
      <c r="F25" s="19"/>
      <c r="G25" t="s">
        <v>10</v>
      </c>
      <c r="H25" s="7" t="s">
        <v>25</v>
      </c>
    </row>
    <row r="26" spans="1:8" ht="27.95" customHeight="1">
      <c r="A26" s="16">
        <v>18</v>
      </c>
      <c r="B26" s="17" t="s">
        <v>36</v>
      </c>
      <c r="C26" s="18" t="s">
        <v>39</v>
      </c>
      <c r="D26" s="7" t="s">
        <v>25</v>
      </c>
      <c r="E26" s="8" t="s">
        <v>14</v>
      </c>
      <c r="F26" s="19"/>
      <c r="G26" t="s">
        <v>10</v>
      </c>
      <c r="H26" s="7" t="s">
        <v>25</v>
      </c>
    </row>
    <row r="27" spans="1:8" ht="27.95" customHeight="1">
      <c r="A27" s="16">
        <v>19</v>
      </c>
      <c r="B27" s="17" t="s">
        <v>36</v>
      </c>
      <c r="C27" s="18" t="s">
        <v>40</v>
      </c>
      <c r="D27" s="7" t="s">
        <v>13</v>
      </c>
      <c r="E27" s="8" t="s">
        <v>14</v>
      </c>
      <c r="F27" s="19"/>
      <c r="G27" t="s">
        <v>10</v>
      </c>
      <c r="H27" s="7" t="s">
        <v>25</v>
      </c>
    </row>
    <row r="28" spans="1:8" ht="27.95" customHeight="1">
      <c r="A28" s="16">
        <v>20</v>
      </c>
      <c r="B28" s="17" t="s">
        <v>36</v>
      </c>
      <c r="C28" s="18" t="s">
        <v>41</v>
      </c>
      <c r="D28" s="7" t="s">
        <v>13</v>
      </c>
      <c r="E28" s="8" t="s">
        <v>14</v>
      </c>
      <c r="F28" s="19"/>
      <c r="G28" t="s">
        <v>10</v>
      </c>
      <c r="H28" s="7" t="s">
        <v>25</v>
      </c>
    </row>
    <row r="29" spans="1:8" ht="27.95" customHeight="1">
      <c r="A29" s="16">
        <v>21</v>
      </c>
      <c r="B29" s="17" t="s">
        <v>36</v>
      </c>
      <c r="C29" s="18" t="s">
        <v>42</v>
      </c>
      <c r="D29" s="7" t="s">
        <v>25</v>
      </c>
      <c r="E29" s="8" t="s">
        <v>14</v>
      </c>
      <c r="F29" s="19"/>
      <c r="G29" t="s">
        <v>10</v>
      </c>
      <c r="H29" s="7" t="s">
        <v>25</v>
      </c>
    </row>
    <row r="30" spans="1:8" ht="27.95" customHeight="1">
      <c r="A30" s="16">
        <v>22</v>
      </c>
      <c r="B30" s="17" t="s">
        <v>36</v>
      </c>
      <c r="C30" s="18" t="s">
        <v>43</v>
      </c>
      <c r="D30" s="7" t="s">
        <v>25</v>
      </c>
      <c r="E30" s="8" t="s">
        <v>14</v>
      </c>
      <c r="F30" s="19"/>
      <c r="G30" t="s">
        <v>10</v>
      </c>
      <c r="H30" s="7" t="s">
        <v>25</v>
      </c>
    </row>
    <row r="31" spans="1:8" ht="20.100000000000001" customHeight="1">
      <c r="A31" s="107" t="s">
        <v>44</v>
      </c>
      <c r="B31" s="116"/>
      <c r="C31" s="116"/>
      <c r="D31" s="116"/>
      <c r="E31" s="116"/>
      <c r="F31" s="116"/>
      <c r="H31" s="92"/>
    </row>
    <row r="32" spans="1:8" ht="27.95" customHeight="1">
      <c r="A32" s="21">
        <v>23</v>
      </c>
      <c r="B32" s="22" t="s">
        <v>45</v>
      </c>
      <c r="C32" s="23" t="s">
        <v>46</v>
      </c>
      <c r="D32" s="7" t="s">
        <v>13</v>
      </c>
      <c r="E32" s="8" t="s">
        <v>14</v>
      </c>
      <c r="F32" s="24"/>
      <c r="G32" t="s">
        <v>10</v>
      </c>
      <c r="H32" s="7" t="s">
        <v>25</v>
      </c>
    </row>
    <row r="33" spans="1:8" ht="27.95" customHeight="1">
      <c r="A33" s="21">
        <v>24</v>
      </c>
      <c r="B33" s="22" t="s">
        <v>45</v>
      </c>
      <c r="C33" s="23" t="s">
        <v>47</v>
      </c>
      <c r="D33" s="7" t="s">
        <v>25</v>
      </c>
      <c r="E33" s="8" t="s">
        <v>14</v>
      </c>
      <c r="F33" s="24"/>
      <c r="G33" t="s">
        <v>10</v>
      </c>
      <c r="H33" s="7" t="s">
        <v>25</v>
      </c>
    </row>
    <row r="34" spans="1:8" ht="27.95" customHeight="1">
      <c r="A34" s="21">
        <v>25</v>
      </c>
      <c r="B34" s="22" t="s">
        <v>45</v>
      </c>
      <c r="C34" s="23" t="s">
        <v>48</v>
      </c>
      <c r="D34" s="7" t="s">
        <v>13</v>
      </c>
      <c r="E34" s="8" t="s">
        <v>14</v>
      </c>
      <c r="F34" s="24"/>
      <c r="G34" t="s">
        <v>10</v>
      </c>
      <c r="H34" s="7" t="s">
        <v>25</v>
      </c>
    </row>
    <row r="35" spans="1:8" ht="27.95" customHeight="1">
      <c r="A35" s="21">
        <v>26</v>
      </c>
      <c r="B35" s="22" t="s">
        <v>45</v>
      </c>
      <c r="C35" s="23" t="s">
        <v>49</v>
      </c>
      <c r="D35" s="7" t="s">
        <v>13</v>
      </c>
      <c r="E35" s="8" t="s">
        <v>14</v>
      </c>
      <c r="F35" s="24"/>
      <c r="G35" t="s">
        <v>10</v>
      </c>
      <c r="H35" s="7" t="s">
        <v>25</v>
      </c>
    </row>
    <row r="36" spans="1:8" ht="27.95" customHeight="1">
      <c r="A36" s="21">
        <v>27</v>
      </c>
      <c r="B36" s="22" t="s">
        <v>45</v>
      </c>
      <c r="C36" s="23" t="s">
        <v>50</v>
      </c>
      <c r="D36" s="7" t="s">
        <v>25</v>
      </c>
      <c r="E36" s="8" t="s">
        <v>14</v>
      </c>
      <c r="F36" s="24"/>
      <c r="G36" t="s">
        <v>10</v>
      </c>
      <c r="H36" s="7" t="s">
        <v>25</v>
      </c>
    </row>
    <row r="37" spans="1:8" ht="27.95" customHeight="1">
      <c r="A37" s="21">
        <v>28</v>
      </c>
      <c r="B37" s="22" t="s">
        <v>45</v>
      </c>
      <c r="C37" s="23" t="s">
        <v>51</v>
      </c>
      <c r="D37" s="7" t="s">
        <v>25</v>
      </c>
      <c r="E37" s="8" t="s">
        <v>14</v>
      </c>
      <c r="F37" s="24"/>
      <c r="G37" t="s">
        <v>10</v>
      </c>
      <c r="H37" s="7" t="s">
        <v>25</v>
      </c>
    </row>
    <row r="38" spans="1:8" ht="27.95" customHeight="1">
      <c r="A38" s="21">
        <v>29</v>
      </c>
      <c r="B38" s="22" t="s">
        <v>45</v>
      </c>
      <c r="C38" s="23" t="s">
        <v>52</v>
      </c>
      <c r="D38" s="7" t="s">
        <v>25</v>
      </c>
      <c r="E38" s="8" t="s">
        <v>14</v>
      </c>
      <c r="F38" s="24"/>
      <c r="G38" t="s">
        <v>10</v>
      </c>
      <c r="H38" s="7" t="s">
        <v>25</v>
      </c>
    </row>
    <row r="39" spans="1:8" ht="20.100000000000001" customHeight="1">
      <c r="A39" s="108" t="s">
        <v>53</v>
      </c>
      <c r="B39" s="117"/>
      <c r="C39" s="117"/>
      <c r="D39" s="117"/>
      <c r="E39" s="117"/>
      <c r="F39" s="117"/>
      <c r="H39" s="93"/>
    </row>
    <row r="40" spans="1:8" ht="27.95" customHeight="1">
      <c r="A40" s="26">
        <v>30</v>
      </c>
      <c r="B40" s="27" t="s">
        <v>54</v>
      </c>
      <c r="C40" s="28" t="s">
        <v>55</v>
      </c>
      <c r="D40" s="7" t="s">
        <v>25</v>
      </c>
      <c r="E40" s="8" t="s">
        <v>14</v>
      </c>
      <c r="F40" s="29"/>
      <c r="G40" t="s">
        <v>10</v>
      </c>
      <c r="H40" s="7" t="s">
        <v>25</v>
      </c>
    </row>
    <row r="41" spans="1:8" ht="27.95" customHeight="1">
      <c r="A41" s="26">
        <v>31</v>
      </c>
      <c r="B41" s="27" t="s">
        <v>54</v>
      </c>
      <c r="C41" s="28" t="s">
        <v>56</v>
      </c>
      <c r="D41" s="7" t="s">
        <v>13</v>
      </c>
      <c r="E41" s="8" t="s">
        <v>14</v>
      </c>
      <c r="F41" s="29"/>
      <c r="G41" t="s">
        <v>10</v>
      </c>
      <c r="H41" s="7" t="s">
        <v>25</v>
      </c>
    </row>
    <row r="42" spans="1:8" ht="27.95" customHeight="1">
      <c r="A42" s="26">
        <v>32</v>
      </c>
      <c r="B42" s="27" t="s">
        <v>54</v>
      </c>
      <c r="C42" s="28" t="s">
        <v>57</v>
      </c>
      <c r="D42" s="7" t="s">
        <v>13</v>
      </c>
      <c r="E42" s="8" t="s">
        <v>14</v>
      </c>
      <c r="F42" s="29"/>
      <c r="G42" t="s">
        <v>10</v>
      </c>
      <c r="H42" s="7" t="s">
        <v>25</v>
      </c>
    </row>
    <row r="43" spans="1:8" ht="27.95" customHeight="1">
      <c r="A43" s="26">
        <v>33</v>
      </c>
      <c r="B43" s="27" t="s">
        <v>54</v>
      </c>
      <c r="C43" s="28" t="s">
        <v>58</v>
      </c>
      <c r="D43" s="7" t="s">
        <v>13</v>
      </c>
      <c r="E43" s="8" t="s">
        <v>14</v>
      </c>
      <c r="F43" s="29"/>
      <c r="G43" t="s">
        <v>10</v>
      </c>
      <c r="H43" s="7" t="s">
        <v>25</v>
      </c>
    </row>
    <row r="44" spans="1:8" ht="27.95" customHeight="1">
      <c r="A44" s="26">
        <v>34</v>
      </c>
      <c r="B44" s="27" t="s">
        <v>54</v>
      </c>
      <c r="C44" s="28" t="s">
        <v>59</v>
      </c>
      <c r="D44" s="7" t="s">
        <v>25</v>
      </c>
      <c r="E44" s="8" t="s">
        <v>14</v>
      </c>
      <c r="F44" s="29"/>
      <c r="G44" t="s">
        <v>10</v>
      </c>
      <c r="H44" s="7" t="s">
        <v>25</v>
      </c>
    </row>
    <row r="45" spans="1:8" ht="27.95" customHeight="1">
      <c r="A45" s="26">
        <v>35</v>
      </c>
      <c r="B45" s="27" t="s">
        <v>54</v>
      </c>
      <c r="C45" s="28" t="s">
        <v>60</v>
      </c>
      <c r="D45" s="7" t="s">
        <v>25</v>
      </c>
      <c r="E45" s="8" t="s">
        <v>14</v>
      </c>
      <c r="F45" s="29"/>
      <c r="G45" t="s">
        <v>10</v>
      </c>
      <c r="H45" s="7" t="s">
        <v>25</v>
      </c>
    </row>
    <row r="46" spans="1:8" ht="20.100000000000001" customHeight="1">
      <c r="A46" s="109" t="s">
        <v>61</v>
      </c>
      <c r="B46" s="118"/>
      <c r="C46" s="118"/>
      <c r="D46" s="118"/>
      <c r="E46" s="118"/>
      <c r="F46" s="118"/>
      <c r="H46" s="94"/>
    </row>
    <row r="47" spans="1:8" ht="27.95" customHeight="1">
      <c r="A47" s="31">
        <v>36</v>
      </c>
      <c r="B47" s="32" t="s">
        <v>62</v>
      </c>
      <c r="C47" s="33" t="s">
        <v>63</v>
      </c>
      <c r="D47" s="7" t="s">
        <v>25</v>
      </c>
      <c r="E47" s="8" t="s">
        <v>14</v>
      </c>
      <c r="F47" s="34"/>
      <c r="G47" t="s">
        <v>10</v>
      </c>
      <c r="H47" s="7" t="s">
        <v>25</v>
      </c>
    </row>
    <row r="48" spans="1:8" ht="27.95" customHeight="1">
      <c r="A48" s="31">
        <v>37</v>
      </c>
      <c r="B48" s="32" t="s">
        <v>62</v>
      </c>
      <c r="C48" s="33" t="s">
        <v>64</v>
      </c>
      <c r="D48" s="7" t="s">
        <v>25</v>
      </c>
      <c r="E48" s="8" t="s">
        <v>14</v>
      </c>
      <c r="F48" s="34"/>
      <c r="G48" t="s">
        <v>10</v>
      </c>
      <c r="H48" s="7" t="s">
        <v>25</v>
      </c>
    </row>
    <row r="49" spans="1:8" ht="27.95" customHeight="1">
      <c r="A49" s="31">
        <v>38</v>
      </c>
      <c r="B49" s="32" t="s">
        <v>62</v>
      </c>
      <c r="C49" s="33" t="s">
        <v>65</v>
      </c>
      <c r="D49" s="7" t="s">
        <v>13</v>
      </c>
      <c r="E49" s="8" t="s">
        <v>14</v>
      </c>
      <c r="F49" s="34"/>
      <c r="G49" t="s">
        <v>10</v>
      </c>
      <c r="H49" s="7" t="s">
        <v>25</v>
      </c>
    </row>
    <row r="50" spans="1:8" ht="27.95" customHeight="1">
      <c r="A50" s="31">
        <v>39</v>
      </c>
      <c r="B50" s="32" t="s">
        <v>62</v>
      </c>
      <c r="C50" s="33" t="s">
        <v>66</v>
      </c>
      <c r="D50" s="7" t="s">
        <v>25</v>
      </c>
      <c r="E50" s="8" t="s">
        <v>14</v>
      </c>
      <c r="F50" s="34" t="s">
        <v>96</v>
      </c>
      <c r="G50" t="s">
        <v>10</v>
      </c>
      <c r="H50" s="7" t="s">
        <v>25</v>
      </c>
    </row>
    <row r="51" spans="1:8" ht="27.95" customHeight="1">
      <c r="A51" s="31">
        <v>40</v>
      </c>
      <c r="B51" s="32" t="s">
        <v>62</v>
      </c>
      <c r="C51" s="33" t="s">
        <v>67</v>
      </c>
      <c r="D51" s="7" t="s">
        <v>13</v>
      </c>
      <c r="E51" s="8" t="s">
        <v>14</v>
      </c>
      <c r="F51" s="34"/>
      <c r="G51" t="s">
        <v>10</v>
      </c>
      <c r="H51" s="7" t="s">
        <v>25</v>
      </c>
    </row>
    <row r="52" spans="1:8" ht="27.95" customHeight="1">
      <c r="A52" s="31">
        <v>41</v>
      </c>
      <c r="B52" s="32" t="s">
        <v>62</v>
      </c>
      <c r="C52" s="33" t="s">
        <v>68</v>
      </c>
      <c r="D52" s="7" t="s">
        <v>13</v>
      </c>
      <c r="E52" s="8" t="s">
        <v>14</v>
      </c>
      <c r="F52" s="34"/>
      <c r="G52" t="s">
        <v>10</v>
      </c>
      <c r="H52" s="7" t="s">
        <v>25</v>
      </c>
    </row>
    <row r="53" spans="1:8" ht="27.95" customHeight="1">
      <c r="A53" s="31">
        <v>42</v>
      </c>
      <c r="B53" s="32" t="s">
        <v>69</v>
      </c>
      <c r="C53" s="13" t="s">
        <v>33</v>
      </c>
      <c r="D53" s="7" t="s">
        <v>25</v>
      </c>
      <c r="E53" s="8" t="s">
        <v>14</v>
      </c>
      <c r="F53" s="34"/>
      <c r="G53" t="s">
        <v>10</v>
      </c>
      <c r="H53" s="7" t="s">
        <v>25</v>
      </c>
    </row>
    <row r="54" spans="1:8" ht="27.95" customHeight="1">
      <c r="A54" s="31">
        <v>43</v>
      </c>
      <c r="B54" s="32" t="s">
        <v>69</v>
      </c>
      <c r="C54" s="33" t="s">
        <v>70</v>
      </c>
      <c r="D54" s="7" t="s">
        <v>25</v>
      </c>
      <c r="E54" s="8" t="s">
        <v>14</v>
      </c>
      <c r="F54" s="34"/>
      <c r="G54" t="s">
        <v>10</v>
      </c>
      <c r="H54" s="7" t="s">
        <v>25</v>
      </c>
    </row>
    <row r="55" spans="1:8" ht="20.100000000000001" customHeight="1">
      <c r="A55" s="110" t="s">
        <v>71</v>
      </c>
      <c r="B55" s="119"/>
      <c r="C55" s="119"/>
      <c r="D55" s="119"/>
      <c r="E55" s="119"/>
      <c r="F55" s="119"/>
      <c r="H55" s="7"/>
    </row>
    <row r="56" spans="1:8" ht="27.95" customHeight="1">
      <c r="A56" s="36">
        <v>44</v>
      </c>
      <c r="B56" s="37" t="s">
        <v>72</v>
      </c>
      <c r="C56" s="38" t="s">
        <v>73</v>
      </c>
      <c r="D56" s="7" t="s">
        <v>16</v>
      </c>
      <c r="E56" s="8" t="s">
        <v>14</v>
      </c>
      <c r="F56" s="39"/>
      <c r="G56" t="s">
        <v>10</v>
      </c>
      <c r="H56" s="7" t="s">
        <v>25</v>
      </c>
    </row>
    <row r="57" spans="1:8" ht="27.95" customHeight="1">
      <c r="A57" s="36">
        <v>45</v>
      </c>
      <c r="B57" s="37" t="s">
        <v>72</v>
      </c>
      <c r="C57" s="38" t="s">
        <v>74</v>
      </c>
      <c r="D57" s="7" t="s">
        <v>13</v>
      </c>
      <c r="E57" s="8" t="s">
        <v>14</v>
      </c>
      <c r="F57" s="39"/>
      <c r="G57" t="s">
        <v>10</v>
      </c>
      <c r="H57" s="7" t="s">
        <v>25</v>
      </c>
    </row>
    <row r="58" spans="1:8" ht="27.95" customHeight="1">
      <c r="A58" s="36">
        <v>46</v>
      </c>
      <c r="B58" s="37" t="s">
        <v>72</v>
      </c>
      <c r="C58" s="38" t="s">
        <v>75</v>
      </c>
      <c r="D58" s="7" t="s">
        <v>13</v>
      </c>
      <c r="E58" s="8" t="s">
        <v>14</v>
      </c>
      <c r="F58" s="39"/>
      <c r="G58" t="s">
        <v>10</v>
      </c>
      <c r="H58" s="7" t="s">
        <v>25</v>
      </c>
    </row>
    <row r="59" spans="1:8" ht="27.95" customHeight="1">
      <c r="A59" s="36">
        <v>47</v>
      </c>
      <c r="B59" s="37" t="s">
        <v>72</v>
      </c>
      <c r="C59" s="38" t="s">
        <v>76</v>
      </c>
      <c r="D59" s="7" t="s">
        <v>25</v>
      </c>
      <c r="E59" s="8" t="s">
        <v>14</v>
      </c>
      <c r="F59" s="39"/>
      <c r="G59" t="s">
        <v>10</v>
      </c>
      <c r="H59" s="7" t="s">
        <v>25</v>
      </c>
    </row>
    <row r="60" spans="1:8" ht="27.95" customHeight="1">
      <c r="A60" s="36">
        <v>48</v>
      </c>
      <c r="B60" s="37" t="s">
        <v>72</v>
      </c>
      <c r="C60" s="38" t="s">
        <v>77</v>
      </c>
      <c r="D60" s="7" t="s">
        <v>25</v>
      </c>
      <c r="E60" s="8" t="s">
        <v>14</v>
      </c>
      <c r="F60" s="39"/>
      <c r="G60" t="s">
        <v>10</v>
      </c>
      <c r="H60" s="7" t="s">
        <v>25</v>
      </c>
    </row>
    <row r="61" spans="1:8" ht="27.95" customHeight="1">
      <c r="A61" s="36">
        <v>49</v>
      </c>
      <c r="B61" s="37" t="s">
        <v>72</v>
      </c>
      <c r="C61" s="38" t="s">
        <v>78</v>
      </c>
      <c r="D61" s="7" t="s">
        <v>13</v>
      </c>
      <c r="E61" s="8" t="s">
        <v>14</v>
      </c>
      <c r="F61" s="39"/>
      <c r="G61" t="s">
        <v>10</v>
      </c>
      <c r="H61" s="7" t="s">
        <v>25</v>
      </c>
    </row>
    <row r="62" spans="1:8" ht="27.95" customHeight="1">
      <c r="A62" s="36">
        <v>50</v>
      </c>
      <c r="B62" s="37" t="s">
        <v>72</v>
      </c>
      <c r="C62" s="38" t="s">
        <v>79</v>
      </c>
      <c r="D62" s="7" t="s">
        <v>16</v>
      </c>
      <c r="E62" s="8" t="s">
        <v>14</v>
      </c>
      <c r="F62" s="39"/>
      <c r="G62" t="s">
        <v>10</v>
      </c>
      <c r="H62" s="7" t="s">
        <v>25</v>
      </c>
    </row>
    <row r="63" spans="1:8" ht="20.100000000000001" customHeight="1">
      <c r="A63" s="101" t="s">
        <v>80</v>
      </c>
      <c r="B63" s="120"/>
      <c r="C63" s="120"/>
      <c r="D63" s="120"/>
      <c r="E63" s="120"/>
      <c r="F63" s="120"/>
      <c r="H63" s="96"/>
    </row>
    <row r="64" spans="1:8" ht="27.95" customHeight="1">
      <c r="A64" s="41">
        <v>51</v>
      </c>
      <c r="B64" s="42" t="s">
        <v>81</v>
      </c>
      <c r="C64" s="43" t="s">
        <v>82</v>
      </c>
      <c r="D64" s="7" t="s">
        <v>25</v>
      </c>
      <c r="E64" s="8" t="s">
        <v>14</v>
      </c>
      <c r="F64" s="44"/>
      <c r="G64" t="s">
        <v>10</v>
      </c>
      <c r="H64" s="7" t="s">
        <v>25</v>
      </c>
    </row>
    <row r="65" spans="1:8" ht="27.95" customHeight="1">
      <c r="A65" s="41">
        <v>52</v>
      </c>
      <c r="B65" s="42" t="s">
        <v>81</v>
      </c>
      <c r="C65" s="43" t="s">
        <v>83</v>
      </c>
      <c r="D65" s="7" t="s">
        <v>13</v>
      </c>
      <c r="E65" s="8" t="s">
        <v>14</v>
      </c>
      <c r="F65" s="44"/>
      <c r="G65" t="s">
        <v>10</v>
      </c>
      <c r="H65" s="7" t="s">
        <v>25</v>
      </c>
    </row>
    <row r="66" spans="1:8" ht="27.95" customHeight="1">
      <c r="A66" s="41">
        <v>53</v>
      </c>
      <c r="B66" s="42" t="s">
        <v>81</v>
      </c>
      <c r="C66" s="43" t="s">
        <v>84</v>
      </c>
      <c r="D66" s="7" t="s">
        <v>13</v>
      </c>
      <c r="E66" s="8" t="s">
        <v>14</v>
      </c>
      <c r="F66" s="44"/>
      <c r="G66" t="s">
        <v>10</v>
      </c>
      <c r="H66" s="7" t="s">
        <v>25</v>
      </c>
    </row>
    <row r="67" spans="1:8" ht="27.95" customHeight="1">
      <c r="A67" s="41">
        <v>54</v>
      </c>
      <c r="B67" s="42" t="s">
        <v>81</v>
      </c>
      <c r="C67" s="43" t="s">
        <v>85</v>
      </c>
      <c r="D67" s="7" t="s">
        <v>25</v>
      </c>
      <c r="E67" s="8" t="s">
        <v>14</v>
      </c>
      <c r="F67" s="44" t="s">
        <v>97</v>
      </c>
      <c r="G67" t="s">
        <v>10</v>
      </c>
      <c r="H67" s="7" t="s">
        <v>25</v>
      </c>
    </row>
    <row r="68" spans="1:8" ht="20.100000000000001" customHeight="1">
      <c r="A68" s="111" t="s">
        <v>86</v>
      </c>
      <c r="B68" s="121"/>
      <c r="C68" s="121"/>
      <c r="D68" s="121"/>
      <c r="E68" s="121"/>
      <c r="F68" s="121"/>
      <c r="H68" s="97"/>
    </row>
    <row r="69" spans="1:8" ht="27.95" customHeight="1">
      <c r="A69" s="46">
        <v>55</v>
      </c>
      <c r="B69" s="47" t="s">
        <v>87</v>
      </c>
      <c r="C69" s="48" t="s">
        <v>88</v>
      </c>
      <c r="D69" s="7" t="s">
        <v>13</v>
      </c>
      <c r="E69" s="8" t="s">
        <v>14</v>
      </c>
      <c r="F69" s="49"/>
      <c r="G69" t="s">
        <v>10</v>
      </c>
      <c r="H69" s="7" t="s">
        <v>25</v>
      </c>
    </row>
    <row r="70" spans="1:8">
      <c r="A70" s="101" t="s">
        <v>89</v>
      </c>
      <c r="B70" s="120"/>
      <c r="C70" s="120"/>
      <c r="D70" s="120"/>
      <c r="E70" s="120"/>
      <c r="F70" s="120"/>
      <c r="H70" s="96"/>
    </row>
    <row r="71" spans="1:8" ht="25.5">
      <c r="A71" s="41">
        <v>56</v>
      </c>
      <c r="B71" s="42" t="s">
        <v>90</v>
      </c>
      <c r="C71" s="43" t="s">
        <v>91</v>
      </c>
      <c r="D71" s="7" t="s">
        <v>25</v>
      </c>
      <c r="E71" s="8" t="s">
        <v>14</v>
      </c>
      <c r="F71" s="44"/>
      <c r="G71" t="s">
        <v>10</v>
      </c>
      <c r="H71" s="7" t="s">
        <v>25</v>
      </c>
    </row>
    <row r="72" spans="1:8" ht="25.5">
      <c r="A72" s="41">
        <v>57</v>
      </c>
      <c r="B72" s="42" t="s">
        <v>90</v>
      </c>
      <c r="C72" s="43" t="s">
        <v>92</v>
      </c>
      <c r="D72" s="7" t="s">
        <v>25</v>
      </c>
      <c r="E72" s="8" t="s">
        <v>14</v>
      </c>
      <c r="F72" s="44"/>
      <c r="G72" t="s">
        <v>10</v>
      </c>
      <c r="H72" s="7" t="s">
        <v>25</v>
      </c>
    </row>
  </sheetData>
  <mergeCells count="12">
    <mergeCell ref="A70:F70"/>
    <mergeCell ref="A2:F2"/>
    <mergeCell ref="A55:F55"/>
    <mergeCell ref="A46:F46"/>
    <mergeCell ref="A1:F1"/>
    <mergeCell ref="A5:F5"/>
    <mergeCell ref="A31:F31"/>
    <mergeCell ref="A68:F68"/>
    <mergeCell ref="A12:F12"/>
    <mergeCell ref="A39:F39"/>
    <mergeCell ref="A63:F63"/>
    <mergeCell ref="A23:F23"/>
  </mergeCells>
  <dataValidations count="2">
    <dataValidation type="list" allowBlank="1" sqref="D5:D72 H5:H72" xr:uid="{00000000-0002-0000-0000-000000000000}">
      <formula1>"Pending,In Progress,Complete,N/A"</formula1>
    </dataValidation>
    <dataValidation type="list" allowBlank="1" showInputMessage="1" showErrorMessage="1" sqref="E13:E22 E6:E11 E24:E30 E32:E38 E40:E45 E47:E54 E56:E62 E64:E67 E69 E71:E72" xr:uid="{8D7CC35C-3E3D-4C0C-BB93-DFC345A38EEF}">
      <formula1>"HOD, Accountant"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pane ySplit="4" topLeftCell="A5" activePane="bottomLeft" state="frozen"/>
      <selection pane="bottomLeft" activeCell="H16" sqref="H16"/>
    </sheetView>
  </sheetViews>
  <sheetFormatPr defaultRowHeight="15"/>
  <cols>
    <col min="1" max="1" width="32" customWidth="1"/>
    <col min="2" max="4" width="12" customWidth="1"/>
    <col min="5" max="5" width="14" customWidth="1"/>
    <col min="6" max="6" width="15.7109375" customWidth="1"/>
    <col min="7" max="7" width="17.140625" customWidth="1"/>
    <col min="8" max="8" width="19.42578125" customWidth="1"/>
  </cols>
  <sheetData>
    <row r="1" spans="1:8" ht="32.1" customHeight="1">
      <c r="A1" s="98" t="s">
        <v>98</v>
      </c>
      <c r="B1" s="112"/>
      <c r="C1" s="112"/>
      <c r="D1" s="112"/>
      <c r="E1" s="112"/>
    </row>
    <row r="2" spans="1:8" ht="8.1" customHeight="1"/>
    <row r="3" spans="1:8" ht="19.5" customHeight="1">
      <c r="F3" s="99" t="s">
        <v>99</v>
      </c>
      <c r="G3" s="100"/>
      <c r="H3" s="100"/>
    </row>
    <row r="4" spans="1:8" ht="20.100000000000001" customHeight="1">
      <c r="A4" s="50" t="s">
        <v>3</v>
      </c>
      <c r="B4" s="50" t="s">
        <v>100</v>
      </c>
      <c r="C4" s="50" t="s">
        <v>25</v>
      </c>
      <c r="D4" s="50" t="s">
        <v>101</v>
      </c>
      <c r="E4" s="50" t="s">
        <v>102</v>
      </c>
      <c r="F4" s="50" t="s">
        <v>25</v>
      </c>
      <c r="G4" s="50" t="s">
        <v>101</v>
      </c>
      <c r="H4" s="50" t="s">
        <v>102</v>
      </c>
    </row>
    <row r="5" spans="1:8" ht="21.95" customHeight="1">
      <c r="A5" s="3" t="s">
        <v>11</v>
      </c>
      <c r="B5" s="51">
        <v>6</v>
      </c>
      <c r="C5" s="52">
        <f>COUNTIF(July!D6:D11,"Complete")</f>
        <v>6</v>
      </c>
      <c r="D5" s="53">
        <f>6-C5</f>
        <v>0</v>
      </c>
      <c r="E5" s="54">
        <f>IFERROR(C5/B5,0)</f>
        <v>1</v>
      </c>
      <c r="F5" s="52">
        <f>COUNTIF(July!H6:H11,"Complete")</f>
        <v>6</v>
      </c>
      <c r="G5" s="53">
        <f>6-F5</f>
        <v>0</v>
      </c>
      <c r="H5" s="54">
        <f>IFERROR(F5/B5,0)</f>
        <v>1</v>
      </c>
    </row>
    <row r="6" spans="1:8" ht="21.95" customHeight="1">
      <c r="A6" s="10" t="s">
        <v>23</v>
      </c>
      <c r="B6" s="55">
        <v>7</v>
      </c>
      <c r="C6" s="56">
        <f>COUNTIF(July!D13:D19,"Complete")</f>
        <v>3</v>
      </c>
      <c r="D6" s="57">
        <f>7-C6</f>
        <v>4</v>
      </c>
      <c r="E6" s="58">
        <f t="shared" ref="E6:E13" si="0">IFERROR(C6/B6,0)</f>
        <v>0.42857142857142855</v>
      </c>
      <c r="F6" s="56">
        <f>COUNTIF(July!H13:H19,"Complete")</f>
        <v>7</v>
      </c>
      <c r="G6" s="57">
        <f>7-F6</f>
        <v>0</v>
      </c>
      <c r="H6" s="54">
        <f t="shared" ref="H6:H14" si="1">IFERROR(F6/B6,0)</f>
        <v>1</v>
      </c>
    </row>
    <row r="7" spans="1:8" ht="21.95" customHeight="1">
      <c r="A7" s="15" t="s">
        <v>36</v>
      </c>
      <c r="B7" s="59">
        <v>6</v>
      </c>
      <c r="C7" s="60">
        <f>COUNTIF(July!D24:D30,"Complete")</f>
        <v>5</v>
      </c>
      <c r="D7" s="61">
        <f>6-C7</f>
        <v>1</v>
      </c>
      <c r="E7" s="62">
        <f t="shared" si="0"/>
        <v>0.83333333333333337</v>
      </c>
      <c r="F7" s="60">
        <f>COUNTIF(July!H24:H30,"Complete")</f>
        <v>7</v>
      </c>
      <c r="G7" s="61">
        <f>6-F7</f>
        <v>-1</v>
      </c>
      <c r="H7" s="54">
        <f t="shared" si="1"/>
        <v>1.1666666666666667</v>
      </c>
    </row>
    <row r="8" spans="1:8" ht="21.95" customHeight="1">
      <c r="A8" s="20" t="s">
        <v>45</v>
      </c>
      <c r="B8" s="63">
        <v>7</v>
      </c>
      <c r="C8" s="64">
        <f>COUNTIF(July!D32:D38,"Complete")</f>
        <v>4</v>
      </c>
      <c r="D8" s="65">
        <f>7-C8</f>
        <v>3</v>
      </c>
      <c r="E8" s="66">
        <f t="shared" si="0"/>
        <v>0.5714285714285714</v>
      </c>
      <c r="F8" s="64">
        <f>COUNTIF(July!H32:H38,"Complete")</f>
        <v>7</v>
      </c>
      <c r="G8" s="65">
        <f>7-F8</f>
        <v>0</v>
      </c>
      <c r="H8" s="54">
        <f t="shared" si="1"/>
        <v>1</v>
      </c>
    </row>
    <row r="9" spans="1:8" ht="21.95" customHeight="1">
      <c r="A9" s="25" t="s">
        <v>54</v>
      </c>
      <c r="B9" s="67">
        <v>6</v>
      </c>
      <c r="C9" s="68">
        <f>COUNTIF(July!D40:D45,"Complete")</f>
        <v>3</v>
      </c>
      <c r="D9" s="69">
        <f>6-C9</f>
        <v>3</v>
      </c>
      <c r="E9" s="70">
        <f t="shared" si="0"/>
        <v>0.5</v>
      </c>
      <c r="F9" s="68">
        <f>COUNTIF(July!H40:H45,"Complete")</f>
        <v>6</v>
      </c>
      <c r="G9" s="69">
        <f>6-F9</f>
        <v>0</v>
      </c>
      <c r="H9" s="54">
        <f t="shared" si="1"/>
        <v>1</v>
      </c>
    </row>
    <row r="10" spans="1:8" ht="21.95" customHeight="1">
      <c r="A10" s="30" t="s">
        <v>62</v>
      </c>
      <c r="B10" s="71">
        <v>6</v>
      </c>
      <c r="C10" s="72">
        <f>COUNTIF(July!D47:D52,"Complete")</f>
        <v>3</v>
      </c>
      <c r="D10" s="73">
        <f>6-C10</f>
        <v>3</v>
      </c>
      <c r="E10" s="74">
        <f t="shared" si="0"/>
        <v>0.5</v>
      </c>
      <c r="F10" s="72">
        <f>COUNTIF(July!H47:H52,"Complete")</f>
        <v>6</v>
      </c>
      <c r="G10" s="73">
        <f>6-F10</f>
        <v>0</v>
      </c>
      <c r="H10" s="54">
        <f t="shared" si="1"/>
        <v>1</v>
      </c>
    </row>
    <row r="11" spans="1:8" ht="21.95" customHeight="1">
      <c r="A11" s="35" t="s">
        <v>72</v>
      </c>
      <c r="B11" s="75">
        <v>6</v>
      </c>
      <c r="C11" s="76">
        <f>COUNTIF(July!D56:D61,"Complete")</f>
        <v>2</v>
      </c>
      <c r="D11" s="77">
        <f>6-C11</f>
        <v>4</v>
      </c>
      <c r="E11" s="78">
        <f t="shared" si="0"/>
        <v>0.33333333333333331</v>
      </c>
      <c r="F11" s="76">
        <f>COUNTIF(July!H56:H61,"Complete")</f>
        <v>6</v>
      </c>
      <c r="G11" s="77">
        <f>6-F11</f>
        <v>0</v>
      </c>
      <c r="H11" s="54">
        <f t="shared" si="1"/>
        <v>1</v>
      </c>
    </row>
    <row r="12" spans="1:8" ht="21.95" customHeight="1">
      <c r="A12" s="40" t="s">
        <v>81</v>
      </c>
      <c r="B12" s="79">
        <v>4</v>
      </c>
      <c r="C12" s="80">
        <f>COUNTIF(July!D64:D67,"Complete")</f>
        <v>2</v>
      </c>
      <c r="D12" s="81">
        <f>4-C12</f>
        <v>2</v>
      </c>
      <c r="E12" s="82">
        <f t="shared" si="0"/>
        <v>0.5</v>
      </c>
      <c r="F12" s="80">
        <f>COUNTIF(July!H64:H67,"Complete")</f>
        <v>4</v>
      </c>
      <c r="G12" s="81">
        <f>4-F12</f>
        <v>0</v>
      </c>
      <c r="H12" s="54">
        <f t="shared" si="1"/>
        <v>1</v>
      </c>
    </row>
    <row r="13" spans="1:8" ht="21.95" customHeight="1">
      <c r="A13" s="45" t="s">
        <v>87</v>
      </c>
      <c r="B13" s="83">
        <v>4</v>
      </c>
      <c r="C13" s="84">
        <f>COUNTIF(July!D69:D69,"Complete")</f>
        <v>0</v>
      </c>
      <c r="D13" s="85">
        <f>4-C13</f>
        <v>4</v>
      </c>
      <c r="E13" s="86">
        <f t="shared" si="0"/>
        <v>0</v>
      </c>
      <c r="F13" s="84">
        <f>COUNTIF(July!H69:H69,"Complete")</f>
        <v>1</v>
      </c>
      <c r="G13" s="85">
        <f>4-F13</f>
        <v>3</v>
      </c>
      <c r="H13" s="54">
        <f t="shared" si="1"/>
        <v>0.25</v>
      </c>
    </row>
    <row r="14" spans="1:8" ht="21.95" customHeight="1">
      <c r="A14" s="45" t="s">
        <v>89</v>
      </c>
      <c r="B14" s="83">
        <v>4</v>
      </c>
      <c r="C14" s="84">
        <f>COUNTIF(July!D70:D70,"Complete")</f>
        <v>0</v>
      </c>
      <c r="D14" s="85">
        <f>4-C14</f>
        <v>4</v>
      </c>
      <c r="E14" s="86">
        <f t="shared" ref="E14:E15" si="2">IFERROR(C14/B14,0)</f>
        <v>0</v>
      </c>
      <c r="F14" s="84">
        <f>COUNTIF(July!H70:H70,"Complete")</f>
        <v>0</v>
      </c>
      <c r="G14" s="85">
        <f>4-F14</f>
        <v>4</v>
      </c>
      <c r="H14" s="54">
        <f t="shared" si="1"/>
        <v>0</v>
      </c>
    </row>
    <row r="15" spans="1:8" ht="21.95" customHeight="1">
      <c r="A15" s="87" t="s">
        <v>103</v>
      </c>
      <c r="B15" s="50">
        <f>SUM(B5:B14)</f>
        <v>56</v>
      </c>
      <c r="C15" s="50">
        <f t="shared" ref="C15:G15" si="3">SUM(C5:C14)</f>
        <v>28</v>
      </c>
      <c r="D15" s="50">
        <f t="shared" si="3"/>
        <v>28</v>
      </c>
      <c r="E15" s="88">
        <f t="shared" si="2"/>
        <v>0.5</v>
      </c>
      <c r="F15" s="50">
        <f t="shared" si="3"/>
        <v>50</v>
      </c>
      <c r="G15" s="50">
        <f t="shared" si="3"/>
        <v>6</v>
      </c>
      <c r="H15" s="88">
        <f>IFERROR(F15/B15,0)</f>
        <v>0.8928571428571429</v>
      </c>
    </row>
  </sheetData>
  <mergeCells count="2">
    <mergeCell ref="A1:E1"/>
    <mergeCell ref="F3:H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F18AEF603A74F9C4B35AC127A7055" ma:contentTypeVersion="11" ma:contentTypeDescription="Create a new document." ma:contentTypeScope="" ma:versionID="62cffe271800bc7373d14281c3211874">
  <xsd:schema xmlns:xsd="http://www.w3.org/2001/XMLSchema" xmlns:xs="http://www.w3.org/2001/XMLSchema" xmlns:p="http://schemas.microsoft.com/office/2006/metadata/properties" xmlns:ns2="664c0b6d-b80f-4cfe-8f7c-79f73a43ed99" xmlns:ns3="23681827-5905-462c-8586-4d461c4e0943" targetNamespace="http://schemas.microsoft.com/office/2006/metadata/properties" ma:root="true" ma:fieldsID="78f75c45b1a400449dcb8b85739c8f69" ns2:_="" ns3:_="">
    <xsd:import namespace="664c0b6d-b80f-4cfe-8f7c-79f73a43ed99"/>
    <xsd:import namespace="23681827-5905-462c-8586-4d461c4e09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c0b6d-b80f-4cfe-8f7c-79f73a43e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0eb292-6135-47ac-a333-d2e734441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81827-5905-462c-8586-4d461c4e09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0b2f5c-1b22-4366-9ab5-ac732b393a1e}" ma:internalName="TaxCatchAll" ma:showField="CatchAllData" ma:web="23681827-5905-462c-8586-4d461c4e09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4c0b6d-b80f-4cfe-8f7c-79f73a43ed99">
      <Terms xmlns="http://schemas.microsoft.com/office/infopath/2007/PartnerControls"/>
    </lcf76f155ced4ddcb4097134ff3c332f>
    <TaxCatchAll xmlns="23681827-5905-462c-8586-4d461c4e0943" xsi:nil="true"/>
  </documentManagement>
</p:properties>
</file>

<file path=customXml/itemProps1.xml><?xml version="1.0" encoding="utf-8"?>
<ds:datastoreItem xmlns:ds="http://schemas.openxmlformats.org/officeDocument/2006/customXml" ds:itemID="{A00EA03F-F4B2-41A7-825B-2CB77EDD6C40}"/>
</file>

<file path=customXml/itemProps2.xml><?xml version="1.0" encoding="utf-8"?>
<ds:datastoreItem xmlns:ds="http://schemas.openxmlformats.org/officeDocument/2006/customXml" ds:itemID="{2331FC94-585B-4A9C-B486-7E478887FFB5}"/>
</file>

<file path=customXml/itemProps3.xml><?xml version="1.0" encoding="utf-8"?>
<ds:datastoreItem xmlns:ds="http://schemas.openxmlformats.org/officeDocument/2006/customXml" ds:itemID="{1B2CE876-D400-4863-B7DA-21A9CA0E9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Gregory Nyataige</cp:lastModifiedBy>
  <cp:revision/>
  <dcterms:created xsi:type="dcterms:W3CDTF">2026-04-30T13:51:55Z</dcterms:created>
  <dcterms:modified xsi:type="dcterms:W3CDTF">2026-08-14T07:59:28Z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0x010100AD4F18AEF603A74F9C4B35AC127A7055</vt:lpwstr>
  </property>
</Properties>
</file>
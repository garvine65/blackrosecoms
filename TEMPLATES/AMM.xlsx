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/>
  <mc:AlternateContent xmlns:mc="http://schemas.openxmlformats.org/markup-compatibility/2006">
    <mc:Choice Requires="x15">
      <x15ac:absPath xmlns:x15ac="http://schemas.microsoft.com/office/spreadsheetml/2010/11/ac" url="https://d.docs.live.net/e2f139c7ce1f3fee/Documents/DM/Blackrose/Checklists month end/Law firm/"/>
    </mc:Choice>
  </mc:AlternateContent>
  <xr:revisionPtr revIDLastSave="63" documentId="8_{B250F2E5-1D15-4CBB-8552-14BD097E33FA}" xr6:coauthVersionLast="47" xr6:coauthVersionMax="47" xr10:uidLastSave="{DBA071E7-19A4-4353-BB84-A88CE7CE0FA7}"/>
  <bookViews>
    <workbookView xWindow="0" yWindow="0" windowWidth="19200" windowHeight="6810" firstSheet="1" activeTab="1" xr2:uid="{00000000-000D-0000-FFFF-FFFF00000000}"/>
  </bookViews>
  <sheets>
    <sheet name="Monthly Checklist" sheetId="1" r:id="rId1"/>
    <sheet name="Summar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6" i="2" l="1"/>
  <c r="I6" i="2"/>
  <c r="I7" i="2"/>
  <c r="I8" i="2"/>
  <c r="I9" i="2"/>
  <c r="I10" i="2"/>
  <c r="I11" i="2"/>
  <c r="I12" i="2"/>
  <c r="I13" i="2"/>
  <c r="I14" i="2"/>
  <c r="I15" i="2"/>
  <c r="G15" i="2"/>
  <c r="G14" i="2"/>
  <c r="G13" i="2"/>
  <c r="G12" i="2"/>
  <c r="G11" i="2"/>
  <c r="G10" i="2"/>
  <c r="G9" i="2"/>
  <c r="G8" i="2"/>
  <c r="G7" i="2"/>
  <c r="G6" i="2"/>
  <c r="G16" i="2"/>
  <c r="H15" i="2"/>
  <c r="H14" i="2"/>
  <c r="H13" i="2"/>
  <c r="H12" i="2"/>
  <c r="H11" i="2"/>
  <c r="H10" i="2"/>
  <c r="H9" i="2"/>
  <c r="H8" i="2"/>
  <c r="H7" i="2"/>
  <c r="H6" i="2"/>
  <c r="H16" i="2" s="1"/>
  <c r="I5" i="2"/>
  <c r="G5" i="2"/>
  <c r="D15" i="2"/>
  <c r="D14" i="2"/>
  <c r="D13" i="2"/>
  <c r="F13" i="2" s="1"/>
  <c r="D12" i="2"/>
  <c r="F12" i="2" s="1"/>
  <c r="D11" i="2"/>
  <c r="D10" i="2"/>
  <c r="D9" i="2"/>
  <c r="F9" i="2" s="1"/>
  <c r="D8" i="2"/>
  <c r="F8" i="2" s="1"/>
  <c r="D7" i="2"/>
  <c r="D6" i="2"/>
  <c r="D5" i="2"/>
  <c r="E5" i="2" s="1"/>
  <c r="H5" i="2" l="1"/>
  <c r="F6" i="2"/>
  <c r="E6" i="2"/>
  <c r="E7" i="2"/>
  <c r="F7" i="2"/>
  <c r="F10" i="2"/>
  <c r="E10" i="2"/>
  <c r="E11" i="2"/>
  <c r="F11" i="2"/>
  <c r="F14" i="2"/>
  <c r="E14" i="2"/>
  <c r="E15" i="2"/>
  <c r="F15" i="2"/>
  <c r="E9" i="2"/>
  <c r="E13" i="2"/>
  <c r="D16" i="2"/>
  <c r="F16" i="2" s="1"/>
  <c r="F5" i="2"/>
  <c r="E8" i="2"/>
  <c r="E12" i="2"/>
  <c r="E16" i="2" l="1"/>
</calcChain>
</file>

<file path=xl/sharedStrings.xml><?xml version="1.0" encoding="utf-8"?>
<sst xmlns="http://schemas.openxmlformats.org/spreadsheetml/2006/main" count="656" uniqueCount="177">
  <si>
    <t>Law Firm — Finance Department Monthly Checklist</t>
  </si>
  <si>
    <t>Month: _______________  |  Prepared by: _______________  |  Date: _______________  |  Reviewed by: _______________</t>
  </si>
  <si>
    <t>#</t>
  </si>
  <si>
    <t>Category</t>
  </si>
  <si>
    <t>Sub-Category</t>
  </si>
  <si>
    <t>Checklist Item</t>
  </si>
  <si>
    <t>Status</t>
  </si>
  <si>
    <t>Completed By</t>
  </si>
  <si>
    <t>Notes</t>
  </si>
  <si>
    <t>Confirmed By</t>
  </si>
  <si>
    <t xml:space="preserve">  Billing &amp; Revenue</t>
  </si>
  <si>
    <t>Billing &amp; Revenue</t>
  </si>
  <si>
    <t>Time recording</t>
  </si>
  <si>
    <t>Confirm all fee earners have submitted time records for the month</t>
  </si>
  <si>
    <t>Pending</t>
  </si>
  <si>
    <t>HOD</t>
  </si>
  <si>
    <t>Review and approve unbilled time entries; chase outstanding timesheets from fee earners</t>
  </si>
  <si>
    <t>Identify and write off time entries that will not be recoverable; obtain partner approval</t>
  </si>
  <si>
    <t>Reconcile total hours recorded to expected billing capacity by fee earner</t>
  </si>
  <si>
    <t>Disbursements</t>
  </si>
  <si>
    <t>Confirm all client disbursements (court fees, counsel fees, searches, stamps) are captured</t>
  </si>
  <si>
    <t>Ensure disbursements are correctly coded to client/matter and supported by receipts</t>
  </si>
  <si>
    <t>Reconcile disbursements ledger to supporting invoices and receipts</t>
  </si>
  <si>
    <t>Invoice generation</t>
  </si>
  <si>
    <t>Raise all invoices for time and disbursements billed this month</t>
  </si>
  <si>
    <t>Confirm invoices are approved by the responsible partner before dispatch</t>
  </si>
  <si>
    <t>Confirm invoice terms, client reference, and VAT treatment are correct on each invoice</t>
  </si>
  <si>
    <t>Issue invoices to clients and record in the billing register against each matter</t>
  </si>
  <si>
    <t>Revenue recognition</t>
  </si>
  <si>
    <t>Post revenue for invoices raised in the billing ledger</t>
  </si>
  <si>
    <t>Accrue unbilled time for matters where work is substantially complete but not yet invoiced</t>
  </si>
  <si>
    <t>Reconcile total fees billed vs fees collected vs WIP movement for the month</t>
  </si>
  <si>
    <t xml:space="preserve">  Client Trust / Ledger Accounts</t>
  </si>
  <si>
    <t>Client Trust / Ledger Accounts</t>
  </si>
  <si>
    <t>Trust reconciliation</t>
  </si>
  <si>
    <t>Reconcile each client trust/ledger account balance to the trust bank statement</t>
  </si>
  <si>
    <t>Confirm aggregate of all individual client ledger balances equals the trust bank balance</t>
  </si>
  <si>
    <t>Investigate and resolve any differences in client ledger reconciliations immediately</t>
  </si>
  <si>
    <t>Trust compliance</t>
  </si>
  <si>
    <t>Confirm no client trust funds have been used for office/firm purposes</t>
  </si>
  <si>
    <t>Confirm all client funds received are deposited into the trust account on the same day</t>
  </si>
  <si>
    <t>Review all disbursements from trust; confirm each has client authority and matter reference</t>
  </si>
  <si>
    <t>Confirm trust account does not have a debit balance on any individual client ledger</t>
  </si>
  <si>
    <t>Ensure any interest earned on trust accounts is allocated per policy and regulatory rules</t>
  </si>
  <si>
    <t>Matter closure</t>
  </si>
  <si>
    <t>Identify matters closed this month; confirm all trust funds are returned or applied</t>
  </si>
  <si>
    <t>Confirm final bills are raised and any residual trust balances cleared before matter closure</t>
  </si>
  <si>
    <t>Archive closed matter financial records per the firm's document retention policy</t>
  </si>
  <si>
    <t xml:space="preserve">  Cash &amp; Bank</t>
  </si>
  <si>
    <t>Cash &amp; Bank</t>
  </si>
  <si>
    <t>Bank reconciliation</t>
  </si>
  <si>
    <t>Obtain month-end bank statements for all office/firm bank accounts</t>
  </si>
  <si>
    <t>Reconcile each office bank account closing balance to the general ledger cash book</t>
  </si>
  <si>
    <t>List all outstanding deposits in transit at month-end; confirm expected clearance dates</t>
  </si>
  <si>
    <t>List all outstanding cheques and unpresented payments; investigate items over 30 days</t>
  </si>
  <si>
    <t>Confirm all bank charges, interest, and fees are posted in the cash book</t>
  </si>
  <si>
    <t>Review bank statement for any unusual or unauthorised transactions; escalate immediately</t>
  </si>
  <si>
    <t>Confirm no stale cheques (older than 6 months) remain uncleared</t>
  </si>
  <si>
    <t>Petty cash</t>
  </si>
  <si>
    <t>Perform physical petty cash count; confirm balance agrees to cashbook</t>
  </si>
  <si>
    <t>Reconcile petty cash to the petty cash ledger; confirm all vouchers are approved and filed</t>
  </si>
  <si>
    <t>Replenish petty cash to the approved float level and post replenishment journal</t>
  </si>
  <si>
    <t>Cash management</t>
  </si>
  <si>
    <t>Confirm all inter-account transfers are posted in both accounts and reconciled</t>
  </si>
  <si>
    <t>Confirm trust and office bank accounts are clearly segregated in the ledger at all times</t>
  </si>
  <si>
    <t>Prepare month-end actual cash flow statement (office account receipts and payments)</t>
  </si>
  <si>
    <t>Cash forecasting</t>
  </si>
  <si>
    <t>Update rolling 3-month cash flow forecast with latest billing and cost data</t>
  </si>
  <si>
    <t>Identify any projected cash shortfalls; flag to management with proposed mitigations</t>
  </si>
  <si>
    <t>Confirm adequate cash is available for next payroll and major payment obligations</t>
  </si>
  <si>
    <t xml:space="preserve">  Expenditure &amp; Cost Control</t>
  </si>
  <si>
    <t>Expenditure &amp; Cost Control</t>
  </si>
  <si>
    <t>Invoice processing</t>
  </si>
  <si>
    <t>Confirm all supplier invoices are coded, approved, and posted to the correct cost centre</t>
  </si>
  <si>
    <t>Confirm counsel and expert witness fees are approved and posted against the correct matter</t>
  </si>
  <si>
    <t>Accruals &amp; prepayments</t>
  </si>
  <si>
    <t>Post accruals for costs incurred but not yet invoiced (counsel, searches, utilities)</t>
  </si>
  <si>
    <t>Release prepayments proportionately; confirm remaining balances are valid</t>
  </si>
  <si>
    <t>Accrue office costs — rent, insurance, software licences, library subscriptions</t>
  </si>
  <si>
    <t>Cost control</t>
  </si>
  <si>
    <t>Compare actual costs to budget by department and practice group; flag variances above 10%</t>
  </si>
  <si>
    <t>Review professional indemnity insurance and other firm insurance costs are correctly posted</t>
  </si>
  <si>
    <t>Confirm depreciation on office equipment, IT, and leasehold improvements is posted</t>
  </si>
  <si>
    <t>Review and approve any unbudgeted expenditure above the delegated authority threshold</t>
  </si>
  <si>
    <t xml:space="preserve">  Advances &amp; Disbursement Float</t>
  </si>
  <si>
    <t>Advances &amp; Disbursement Float</t>
  </si>
  <si>
    <t>Staff advances</t>
  </si>
  <si>
    <t>Review advances register; confirm all open balances per fee earner and support staff</t>
  </si>
  <si>
    <t>Follow up on all advances outstanding beyond the approved clearance period (30 days)</t>
  </si>
  <si>
    <t>Post retirement documents for advances liquidated this month</t>
  </si>
  <si>
    <t>Confirm no new advance is issued to staff with an unretired prior advance</t>
  </si>
  <si>
    <t>Disbursement float</t>
  </si>
  <si>
    <t>Reconcile disbursement float advances to actual disbursements incurred per matter</t>
  </si>
  <si>
    <t>Confirm client disbursement floats are correctly recorded as client liabilities</t>
  </si>
  <si>
    <t>Follow up on disbursement floats where matters are substantially complete</t>
  </si>
  <si>
    <t>Reconciliation</t>
  </si>
  <si>
    <t>Confirm advances ledger balance agrees to balance sheet advances line</t>
  </si>
  <si>
    <t xml:space="preserve">  Receivables</t>
  </si>
  <si>
    <t>Receivables</t>
  </si>
  <si>
    <t>Aged analysis</t>
  </si>
  <si>
    <t>Generate aged receivables report; review all balances by client and matter</t>
  </si>
  <si>
    <t>Identify invoices overdue by 30, 60, and 90+ days; escalate 90+ day items to partners</t>
  </si>
  <si>
    <t>Collections</t>
  </si>
  <si>
    <t>Issue payment reminders to clients with overdue invoices</t>
  </si>
  <si>
    <t>Post all cash receipts; confirm correct allocation to client invoices and matters</t>
  </si>
  <si>
    <t>Follow up on disputed fee notes with the responsible partner; document resolution plan</t>
  </si>
  <si>
    <t>Credit risk</t>
  </si>
  <si>
    <t>Assess recoverability of aged balances; raise bad debt provision where required</t>
  </si>
  <si>
    <t>Review credit terms for clients with persistently late payment patterns</t>
  </si>
  <si>
    <t>Reconcile receivables ledger total to balance sheet receivables line</t>
  </si>
  <si>
    <t xml:space="preserve">  Payables</t>
  </si>
  <si>
    <t>Payables</t>
  </si>
  <si>
    <t>Generate aged payables report; review all balances by supplier</t>
  </si>
  <si>
    <t>Identify invoices due for payment this month; prepare payment run schedule</t>
  </si>
  <si>
    <t>Payments</t>
  </si>
  <si>
    <t>Process approved payment run; confirm bank transfers are authorised per policy</t>
  </si>
  <si>
    <t>Confirm counsel, expert witness, and agent fee payments are made per agreed terms</t>
  </si>
  <si>
    <t>Reconcile supplier statements to the payables ledger for key vendors</t>
  </si>
  <si>
    <t>Statutory payables</t>
  </si>
  <si>
    <t>Confirm PAYE, NSSF, NHIF remittances are processed and receipts filed</t>
  </si>
  <si>
    <t>Confirm VAT payable is correctly calculated on firm fee income</t>
  </si>
  <si>
    <t>Reconcile payables ledger total to balance sheet payables line</t>
  </si>
  <si>
    <t>Review long-outstanding creditor balances for continued validity</t>
  </si>
  <si>
    <t xml:space="preserve">  Payroll &amp; HR Costs</t>
  </si>
  <si>
    <t>Payroll &amp; HR Costs</t>
  </si>
  <si>
    <t>Payroll processing</t>
  </si>
  <si>
    <t>Confirm approved headcount, new starters, leavers, and salary changes for the month</t>
  </si>
  <si>
    <t>Process monthly payroll for partners/directors, fee earners, and support staff</t>
  </si>
  <si>
    <t>Reconcile gross pay to approved salary and drawings schedule</t>
  </si>
  <si>
    <t>Issue payslips to all staff; confirm net pay agrees to bank transfer total</t>
  </si>
  <si>
    <t>Statutory deductions</t>
  </si>
  <si>
    <t>Confirm PAYE, NSSF, NHIF deductions are correctly computed and remitted</t>
  </si>
  <si>
    <t>File statutory remittance returns by due dates and retain receipts</t>
  </si>
  <si>
    <t>Cost allocation</t>
  </si>
  <si>
    <t>Allocate payroll costs to practice groups and cost centres</t>
  </si>
  <si>
    <t>Post partner drawings and profit distributions per the partnership/shareholder agreement</t>
  </si>
  <si>
    <t>Reconcile total payroll cost to the general ledger posting</t>
  </si>
  <si>
    <t xml:space="preserve">  Tax &amp; Regulatory Compliance</t>
  </si>
  <si>
    <t>Tax &amp; Regulatory Compliance</t>
  </si>
  <si>
    <t>VAT</t>
  </si>
  <si>
    <t>Reconcile output VAT on fee notes and input VAT on approved supplier invoices</t>
  </si>
  <si>
    <t>Prepare and file monthly VAT return by statutory deadline</t>
  </si>
  <si>
    <t>Confirm VAT treatment on disbursements — distinguish principal vs agent disbursements</t>
  </si>
  <si>
    <t>Withholding tax</t>
  </si>
  <si>
    <t>Confirm withholding tax deducted on advocate/counsel fees and professional payments</t>
  </si>
  <si>
    <t>File withholding tax return and remit deducted amounts by due date</t>
  </si>
  <si>
    <t>Regulatory</t>
  </si>
  <si>
    <t>Confirm practising certificates and Law Society membership fees are current for all advocates</t>
  </si>
  <si>
    <t>Review any upcoming LSK, regulatory, or court compliance deadlines</t>
  </si>
  <si>
    <t xml:space="preserve">  Budget &amp; Management Reporting</t>
  </si>
  <si>
    <t>Budget &amp; Management Reporting</t>
  </si>
  <si>
    <t>Budget vs actuals</t>
  </si>
  <si>
    <t>Prepare monthly budget vs actuals report by practice group and firm-wide</t>
  </si>
  <si>
    <t>Document and present all material fee and cost variances to partners</t>
  </si>
  <si>
    <t>KPIs</t>
  </si>
  <si>
    <t>Prepare monthly fee earner KPI report — fees billed, fees collected, utilisation, realisations</t>
  </si>
  <si>
    <t>Review lock-up days (WIP days + debtor days) by practice group and fee earner</t>
  </si>
  <si>
    <t>Update full-year revenue forecast based on current pipeline and billing run-rate</t>
  </si>
  <si>
    <t xml:space="preserve">  Governance &amp; Operations</t>
  </si>
  <si>
    <t>Governance &amp; Operations</t>
  </si>
  <si>
    <t>Governance</t>
  </si>
  <si>
    <t>Review and action any outstanding internal control or compliance findings</t>
  </si>
  <si>
    <t>Confirm all financial authorisations and delegated authority limits are being observed</t>
  </si>
  <si>
    <t>Update the financial risk register with any new risks identified this month</t>
  </si>
  <si>
    <t>Circulate monthly management accounts to partners within agreed reporting deadline</t>
  </si>
  <si>
    <t>Operations</t>
  </si>
  <si>
    <t>Review vendor contracts expiring in the next 60 days; flag for renewal or renegotiation</t>
  </si>
  <si>
    <t>File all month-end working papers and supporting documents per retention policy</t>
  </si>
  <si>
    <t>Monthly Checklist — Summary by Section</t>
  </si>
  <si>
    <t>Confirmed by  HOD status</t>
  </si>
  <si>
    <t>Section</t>
  </si>
  <si>
    <t>Sub-categories</t>
  </si>
  <si>
    <t>Total Items</t>
  </si>
  <si>
    <t>Complete</t>
  </si>
  <si>
    <t>Pending / Other</t>
  </si>
  <si>
    <t>Progress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</si>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</sst>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>
    <font>
      <sz val="11"/>
      <color theme="1"/>
      <name val="Calibri"/>
      <family val="2"/>
      <scheme val="minor"/>
    </font>
    <font>
      <b/>
      <sz val="15"/>
      <color rgb="FF1A1A1A"/>
      <name val="Arial"/>
    </font>
    <font>
      <sz val="10"/>
      <color rgb="FF888780"/>
      <name val="Arial"/>
    </font>
    <font>
      <b/>
      <sz val="10"/>
      <color rgb="FFFFFFFF"/>
      <name val="Arial"/>
    </font>
    <font>
      <b/>
      <sz val="10"/>
      <color rgb="FF27500A"/>
      <name val="Arial"/>
    </font>
    <font>
      <sz val="9"/>
      <color rgb="FF888780"/>
      <name val="Arial"/>
    </font>
    <font>
      <sz val="9"/>
      <color rgb="FF27500A"/>
      <name val="Arial"/>
    </font>
    <font>
      <sz val="10"/>
      <color rgb="FF1A1A1A"/>
      <name val="Arial"/>
    </font>
    <font>
      <sz val="9"/>
      <color rgb="FFBA7517"/>
      <name val="Arial"/>
    </font>
    <font>
      <sz val="9"/>
      <name val="Arial"/>
    </font>
    <font>
      <b/>
      <sz val="10"/>
      <color rgb="FF042C53"/>
      <name val="Arial"/>
    </font>
    <font>
      <sz val="9"/>
      <color rgb="FF042C53"/>
      <name val="Arial"/>
    </font>
    <font>
      <b/>
      <sz val="10"/>
      <color rgb="FF0C447C"/>
      <name val="Arial"/>
    </font>
    <font>
      <sz val="9"/>
      <color rgb="FF0C447C"/>
      <name val="Arial"/>
    </font>
    <font>
      <b/>
      <sz val="10"/>
      <color rgb="FF791F1F"/>
      <name val="Arial"/>
    </font>
    <font>
      <sz val="9"/>
      <color rgb="FF791F1F"/>
      <name val="Arial"/>
    </font>
    <font>
      <b/>
      <sz val="10"/>
      <color rgb="FF633806"/>
      <name val="Arial"/>
    </font>
    <font>
      <sz val="9"/>
      <color rgb="FF633806"/>
      <name val="Arial"/>
    </font>
    <font>
      <b/>
      <sz val="10"/>
      <color rgb="FF3C3489"/>
      <name val="Arial"/>
    </font>
    <font>
      <sz val="9"/>
      <color rgb="FF3C3489"/>
      <name val="Arial"/>
    </font>
    <font>
      <b/>
      <sz val="10"/>
      <color rgb="FF72243E"/>
      <name val="Arial"/>
    </font>
    <font>
      <sz val="9"/>
      <color rgb="FF72243E"/>
      <name val="Arial"/>
    </font>
    <font>
      <b/>
      <sz val="10"/>
      <color rgb="FF085041"/>
      <name val="Arial"/>
    </font>
    <font>
      <sz val="9"/>
      <color rgb="FF085041"/>
      <name val="Arial"/>
    </font>
    <font>
      <b/>
      <sz val="10"/>
      <color rgb="FF712B13"/>
      <name val="Arial"/>
    </font>
    <font>
      <sz val="9"/>
      <color rgb="FF712B13"/>
      <name val="Arial"/>
    </font>
    <font>
      <b/>
      <sz val="10"/>
      <color rgb="FF444441"/>
      <name val="Arial"/>
    </font>
    <font>
      <sz val="9"/>
      <color rgb="FF444441"/>
      <name val="Arial"/>
    </font>
    <font>
      <b/>
      <sz val="14"/>
      <color rgb="FF1A1A1A"/>
      <name val="Arial"/>
    </font>
    <font>
      <sz val="10"/>
      <name val="Arial"/>
    </font>
    <font>
      <sz val="10"/>
      <color rgb="FF3B6D11"/>
      <name val="Arial"/>
    </font>
    <font>
      <sz val="10"/>
      <color rgb="FFBA7517"/>
      <name val="Arial"/>
    </font>
    <font>
      <b/>
      <sz val="11"/>
      <color theme="1"/>
      <name val="Calibri"/>
      <family val="2"/>
      <scheme val="minor"/>
    </font>
    <font>
      <b/>
      <sz val="11"/>
      <color rgb="FFFFC000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F8F8F6"/>
      </patternFill>
    </fill>
    <fill>
      <patternFill patternType="solid">
        <fgColor rgb="FF2C2C2A"/>
      </patternFill>
    </fill>
    <fill>
      <patternFill patternType="solid">
        <fgColor rgb="FFEAF3DE"/>
      </patternFill>
    </fill>
    <fill>
      <patternFill patternType="solid">
        <fgColor rgb="FFF4F9EE"/>
      </patternFill>
    </fill>
    <fill>
      <patternFill patternType="solid">
        <fgColor rgb="FFFAEEDA"/>
      </patternFill>
    </fill>
    <fill>
      <patternFill patternType="solid">
        <fgColor rgb="FFB5D4F4"/>
      </patternFill>
    </fill>
    <fill>
      <patternFill patternType="solid">
        <fgColor rgb="FFEEF6FC"/>
      </patternFill>
    </fill>
    <fill>
      <patternFill patternType="solid">
        <fgColor rgb="FFE6F1FB"/>
      </patternFill>
    </fill>
    <fill>
      <patternFill patternType="solid">
        <fgColor rgb="FFF2F8FD"/>
      </patternFill>
    </fill>
    <fill>
      <patternFill patternType="solid">
        <fgColor rgb="FFFCEBEB"/>
      </patternFill>
    </fill>
    <fill>
      <patternFill patternType="solid">
        <fgColor rgb="FFFEF5F5"/>
      </patternFill>
    </fill>
    <fill>
      <patternFill patternType="solid">
        <fgColor rgb="FFFDF6ED"/>
      </patternFill>
    </fill>
    <fill>
      <patternFill patternType="solid">
        <fgColor rgb="FFEEEDFE"/>
      </patternFill>
    </fill>
    <fill>
      <patternFill patternType="solid">
        <fgColor rgb="FFF7F7FE"/>
      </patternFill>
    </fill>
    <fill>
      <patternFill patternType="solid">
        <fgColor rgb="FFFBEAF0"/>
      </patternFill>
    </fill>
    <fill>
      <patternFill patternType="solid">
        <fgColor rgb="FFFEF4F7"/>
      </patternFill>
    </fill>
    <fill>
      <patternFill patternType="solid">
        <fgColor rgb="FFE1F5EE"/>
      </patternFill>
    </fill>
    <fill>
      <patternFill patternType="solid">
        <fgColor rgb="FFF0FAF5"/>
      </patternFill>
    </fill>
    <fill>
      <patternFill patternType="solid">
        <fgColor rgb="FFFAECE7"/>
      </patternFill>
    </fill>
    <fill>
      <patternFill patternType="solid">
        <fgColor rgb="FFFDF4F1"/>
      </patternFill>
    </fill>
    <fill>
      <patternFill patternType="solid">
        <fgColor rgb="FFF1EFE8"/>
      </patternFill>
    </fill>
    <fill>
      <patternFill patternType="solid">
        <fgColor rgb="FFF8F7F4"/>
      </patternFill>
    </fill>
    <fill>
      <patternFill patternType="solid">
        <fgColor theme="1"/>
        <bgColor indexed="64"/>
      </patternFill>
    </fill>
  </fills>
  <borders count="6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/>
      <bottom/>
      <diagonal/>
    </border>
    <border>
      <left style="thin">
        <color rgb="FFD0D0D0"/>
      </left>
      <right/>
      <top/>
      <bottom/>
      <diagonal/>
    </border>
    <border>
      <left style="thin">
        <color rgb="FFD0D0D0"/>
      </left>
      <right/>
      <top/>
      <bottom style="thin">
        <color rgb="FFD0D0D0"/>
      </bottom>
      <diagonal/>
    </border>
    <border>
      <left/>
      <right/>
      <top/>
      <bottom style="thin">
        <color rgb="FFD0D0D0"/>
      </bottom>
      <diagonal/>
    </border>
  </borders>
  <cellStyleXfs count="1">
    <xf numFmtId="0" fontId="0" fillId="0" borderId="0"/>
  </cellStyleXfs>
  <cellXfs count="155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 wrapText="1"/>
    </xf>
    <xf numFmtId="0" fontId="11" fillId="8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left" vertical="center" wrapText="1"/>
    </xf>
    <xf numFmtId="0" fontId="9" fillId="8" borderId="1" xfId="0" applyFont="1" applyFill="1" applyBorder="1" applyAlignment="1">
      <alignment horizontal="left" vertical="center"/>
    </xf>
    <xf numFmtId="0" fontId="9" fillId="8" borderId="1" xfId="0" applyFont="1" applyFill="1" applyBorder="1" applyAlignment="1">
      <alignment horizontal="left" vertical="center" wrapText="1"/>
    </xf>
    <xf numFmtId="0" fontId="12" fillId="9" borderId="1" xfId="0" applyFont="1" applyFill="1" applyBorder="1" applyAlignment="1">
      <alignment horizontal="left" vertical="center"/>
    </xf>
    <xf numFmtId="0" fontId="5" fillId="10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left" vertical="center" wrapText="1"/>
    </xf>
    <xf numFmtId="0" fontId="13" fillId="10" borderId="1" xfId="0" applyFont="1" applyFill="1" applyBorder="1" applyAlignment="1">
      <alignment horizontal="left" vertical="center" wrapText="1"/>
    </xf>
    <xf numFmtId="0" fontId="7" fillId="10" borderId="1" xfId="0" applyFont="1" applyFill="1" applyBorder="1" applyAlignment="1">
      <alignment horizontal="left" vertical="center" wrapText="1"/>
    </xf>
    <xf numFmtId="0" fontId="9" fillId="10" borderId="1" xfId="0" applyFont="1" applyFill="1" applyBorder="1" applyAlignment="1">
      <alignment horizontal="left" vertical="center"/>
    </xf>
    <xf numFmtId="0" fontId="9" fillId="10" borderId="1" xfId="0" applyFont="1" applyFill="1" applyBorder="1" applyAlignment="1">
      <alignment horizontal="left" vertical="center" wrapText="1"/>
    </xf>
    <xf numFmtId="0" fontId="14" fillId="11" borderId="1" xfId="0" applyFont="1" applyFill="1" applyBorder="1" applyAlignment="1">
      <alignment horizontal="left" vertical="center"/>
    </xf>
    <xf numFmtId="0" fontId="5" fillId="12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left" vertical="center" wrapText="1"/>
    </xf>
    <xf numFmtId="0" fontId="15" fillId="12" borderId="1" xfId="0" applyFont="1" applyFill="1" applyBorder="1" applyAlignment="1">
      <alignment horizontal="left" vertical="center" wrapText="1"/>
    </xf>
    <xf numFmtId="0" fontId="7" fillId="12" borderId="1" xfId="0" applyFont="1" applyFill="1" applyBorder="1" applyAlignment="1">
      <alignment horizontal="left" vertical="center" wrapText="1"/>
    </xf>
    <xf numFmtId="0" fontId="9" fillId="12" borderId="1" xfId="0" applyFont="1" applyFill="1" applyBorder="1" applyAlignment="1">
      <alignment horizontal="left" vertical="center"/>
    </xf>
    <xf numFmtId="0" fontId="9" fillId="12" borderId="1" xfId="0" applyFont="1" applyFill="1" applyBorder="1" applyAlignment="1">
      <alignment horizontal="left" vertical="center" wrapText="1"/>
    </xf>
    <xf numFmtId="0" fontId="16" fillId="6" borderId="1" xfId="0" applyFont="1" applyFill="1" applyBorder="1" applyAlignment="1">
      <alignment horizontal="left" vertical="center"/>
    </xf>
    <xf numFmtId="0" fontId="5" fillId="13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left" vertical="center" wrapText="1"/>
    </xf>
    <xf numFmtId="0" fontId="17" fillId="13" borderId="1" xfId="0" applyFont="1" applyFill="1" applyBorder="1" applyAlignment="1">
      <alignment horizontal="left" vertical="center" wrapText="1"/>
    </xf>
    <xf numFmtId="0" fontId="7" fillId="13" borderId="1" xfId="0" applyFont="1" applyFill="1" applyBorder="1" applyAlignment="1">
      <alignment horizontal="left" vertical="center" wrapText="1"/>
    </xf>
    <xf numFmtId="0" fontId="9" fillId="13" borderId="1" xfId="0" applyFont="1" applyFill="1" applyBorder="1" applyAlignment="1">
      <alignment horizontal="left" vertical="center"/>
    </xf>
    <xf numFmtId="0" fontId="9" fillId="13" borderId="1" xfId="0" applyFont="1" applyFill="1" applyBorder="1" applyAlignment="1">
      <alignment horizontal="left" vertical="center" wrapText="1"/>
    </xf>
    <xf numFmtId="0" fontId="18" fillId="14" borderId="1" xfId="0" applyFont="1" applyFill="1" applyBorder="1" applyAlignment="1">
      <alignment horizontal="left" vertical="center"/>
    </xf>
    <xf numFmtId="0" fontId="5" fillId="15" borderId="1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left" vertical="center" wrapText="1"/>
    </xf>
    <xf numFmtId="0" fontId="19" fillId="15" borderId="1" xfId="0" applyFont="1" applyFill="1" applyBorder="1" applyAlignment="1">
      <alignment horizontal="left" vertical="center" wrapText="1"/>
    </xf>
    <xf numFmtId="0" fontId="7" fillId="15" borderId="1" xfId="0" applyFont="1" applyFill="1" applyBorder="1" applyAlignment="1">
      <alignment horizontal="left" vertical="center" wrapText="1"/>
    </xf>
    <xf numFmtId="0" fontId="9" fillId="15" borderId="1" xfId="0" applyFont="1" applyFill="1" applyBorder="1" applyAlignment="1">
      <alignment horizontal="left" vertical="center"/>
    </xf>
    <xf numFmtId="0" fontId="9" fillId="15" borderId="1" xfId="0" applyFont="1" applyFill="1" applyBorder="1" applyAlignment="1">
      <alignment horizontal="left" vertical="center" wrapText="1"/>
    </xf>
    <xf numFmtId="0" fontId="20" fillId="16" borderId="1" xfId="0" applyFont="1" applyFill="1" applyBorder="1" applyAlignment="1">
      <alignment horizontal="left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left" vertical="center" wrapText="1"/>
    </xf>
    <xf numFmtId="0" fontId="21" fillId="17" borderId="1" xfId="0" applyFont="1" applyFill="1" applyBorder="1" applyAlignment="1">
      <alignment horizontal="left" vertical="center" wrapText="1"/>
    </xf>
    <xf numFmtId="0" fontId="7" fillId="17" borderId="1" xfId="0" applyFont="1" applyFill="1" applyBorder="1" applyAlignment="1">
      <alignment horizontal="left" vertical="center" wrapText="1"/>
    </xf>
    <xf numFmtId="0" fontId="9" fillId="17" borderId="1" xfId="0" applyFont="1" applyFill="1" applyBorder="1" applyAlignment="1">
      <alignment horizontal="left" vertical="center"/>
    </xf>
    <xf numFmtId="0" fontId="9" fillId="17" borderId="1" xfId="0" applyFont="1" applyFill="1" applyBorder="1" applyAlignment="1">
      <alignment horizontal="left" vertical="center" wrapText="1"/>
    </xf>
    <xf numFmtId="0" fontId="22" fillId="18" borderId="1" xfId="0" applyFont="1" applyFill="1" applyBorder="1" applyAlignment="1">
      <alignment horizontal="left" vertical="center"/>
    </xf>
    <xf numFmtId="0" fontId="5" fillId="19" borderId="1" xfId="0" applyFont="1" applyFill="1" applyBorder="1" applyAlignment="1">
      <alignment horizontal="center" vertical="center"/>
    </xf>
    <xf numFmtId="0" fontId="5" fillId="19" borderId="1" xfId="0" applyFont="1" applyFill="1" applyBorder="1" applyAlignment="1">
      <alignment horizontal="left" vertical="center" wrapText="1"/>
    </xf>
    <xf numFmtId="0" fontId="23" fillId="19" borderId="1" xfId="0" applyFont="1" applyFill="1" applyBorder="1" applyAlignment="1">
      <alignment horizontal="left" vertical="center" wrapText="1"/>
    </xf>
    <xf numFmtId="0" fontId="7" fillId="19" borderId="1" xfId="0" applyFont="1" applyFill="1" applyBorder="1" applyAlignment="1">
      <alignment horizontal="left" vertical="center" wrapText="1"/>
    </xf>
    <xf numFmtId="0" fontId="9" fillId="19" borderId="1" xfId="0" applyFont="1" applyFill="1" applyBorder="1" applyAlignment="1">
      <alignment horizontal="left" vertical="center"/>
    </xf>
    <xf numFmtId="0" fontId="9" fillId="19" borderId="1" xfId="0" applyFont="1" applyFill="1" applyBorder="1" applyAlignment="1">
      <alignment horizontal="left" vertical="center" wrapText="1"/>
    </xf>
    <xf numFmtId="0" fontId="24" fillId="20" borderId="1" xfId="0" applyFont="1" applyFill="1" applyBorder="1" applyAlignment="1">
      <alignment horizontal="left" vertical="center"/>
    </xf>
    <xf numFmtId="0" fontId="5" fillId="21" borderId="1" xfId="0" applyFont="1" applyFill="1" applyBorder="1" applyAlignment="1">
      <alignment horizontal="center" vertical="center"/>
    </xf>
    <xf numFmtId="0" fontId="5" fillId="21" borderId="1" xfId="0" applyFont="1" applyFill="1" applyBorder="1" applyAlignment="1">
      <alignment horizontal="left" vertical="center" wrapText="1"/>
    </xf>
    <xf numFmtId="0" fontId="25" fillId="21" borderId="1" xfId="0" applyFont="1" applyFill="1" applyBorder="1" applyAlignment="1">
      <alignment horizontal="left" vertical="center" wrapText="1"/>
    </xf>
    <xf numFmtId="0" fontId="7" fillId="21" borderId="1" xfId="0" applyFont="1" applyFill="1" applyBorder="1" applyAlignment="1">
      <alignment horizontal="left" vertical="center" wrapText="1"/>
    </xf>
    <xf numFmtId="0" fontId="9" fillId="21" borderId="1" xfId="0" applyFont="1" applyFill="1" applyBorder="1" applyAlignment="1">
      <alignment horizontal="left" vertical="center"/>
    </xf>
    <xf numFmtId="0" fontId="9" fillId="21" borderId="1" xfId="0" applyFont="1" applyFill="1" applyBorder="1" applyAlignment="1">
      <alignment horizontal="left" vertical="center" wrapText="1"/>
    </xf>
    <xf numFmtId="0" fontId="26" fillId="22" borderId="1" xfId="0" applyFont="1" applyFill="1" applyBorder="1" applyAlignment="1">
      <alignment horizontal="left" vertical="center"/>
    </xf>
    <xf numFmtId="0" fontId="5" fillId="23" borderId="1" xfId="0" applyFont="1" applyFill="1" applyBorder="1" applyAlignment="1">
      <alignment horizontal="center" vertical="center"/>
    </xf>
    <xf numFmtId="0" fontId="5" fillId="23" borderId="1" xfId="0" applyFont="1" applyFill="1" applyBorder="1" applyAlignment="1">
      <alignment horizontal="left" vertical="center" wrapText="1"/>
    </xf>
    <xf numFmtId="0" fontId="27" fillId="23" borderId="1" xfId="0" applyFont="1" applyFill="1" applyBorder="1" applyAlignment="1">
      <alignment horizontal="left" vertical="center" wrapText="1"/>
    </xf>
    <xf numFmtId="0" fontId="7" fillId="23" borderId="1" xfId="0" applyFont="1" applyFill="1" applyBorder="1" applyAlignment="1">
      <alignment horizontal="left" vertical="center" wrapText="1"/>
    </xf>
    <xf numFmtId="0" fontId="9" fillId="23" borderId="1" xfId="0" applyFont="1" applyFill="1" applyBorder="1" applyAlignment="1">
      <alignment horizontal="left" vertical="center"/>
    </xf>
    <xf numFmtId="0" fontId="9" fillId="23" borderId="1" xfId="0" applyFont="1" applyFill="1" applyBorder="1" applyAlignment="1">
      <alignment horizontal="left" vertical="center" wrapText="1"/>
    </xf>
    <xf numFmtId="0" fontId="29" fillId="5" borderId="1" xfId="0" applyFont="1" applyFill="1" applyBorder="1" applyAlignment="1">
      <alignment horizontal="center" vertical="center"/>
    </xf>
    <xf numFmtId="0" fontId="30" fillId="5" borderId="1" xfId="0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9" fontId="29" fillId="5" borderId="1" xfId="0" applyNumberFormat="1" applyFont="1" applyFill="1" applyBorder="1" applyAlignment="1">
      <alignment horizontal="center" vertical="center"/>
    </xf>
    <xf numFmtId="0" fontId="29" fillId="8" borderId="1" xfId="0" applyFont="1" applyFill="1" applyBorder="1" applyAlignment="1">
      <alignment horizontal="center" vertical="center"/>
    </xf>
    <xf numFmtId="0" fontId="30" fillId="8" borderId="1" xfId="0" applyFont="1" applyFill="1" applyBorder="1" applyAlignment="1">
      <alignment horizontal="center" vertical="center"/>
    </xf>
    <xf numFmtId="0" fontId="31" fillId="8" borderId="1" xfId="0" applyFont="1" applyFill="1" applyBorder="1" applyAlignment="1">
      <alignment horizontal="center" vertical="center"/>
    </xf>
    <xf numFmtId="9" fontId="29" fillId="8" borderId="1" xfId="0" applyNumberFormat="1" applyFont="1" applyFill="1" applyBorder="1" applyAlignment="1">
      <alignment horizontal="center" vertical="center"/>
    </xf>
    <xf numFmtId="0" fontId="29" fillId="10" borderId="1" xfId="0" applyFont="1" applyFill="1" applyBorder="1" applyAlignment="1">
      <alignment horizontal="center" vertical="center"/>
    </xf>
    <xf numFmtId="0" fontId="30" fillId="10" borderId="1" xfId="0" applyFont="1" applyFill="1" applyBorder="1" applyAlignment="1">
      <alignment horizontal="center" vertical="center"/>
    </xf>
    <xf numFmtId="0" fontId="31" fillId="10" borderId="1" xfId="0" applyFont="1" applyFill="1" applyBorder="1" applyAlignment="1">
      <alignment horizontal="center" vertical="center"/>
    </xf>
    <xf numFmtId="9" fontId="29" fillId="10" borderId="1" xfId="0" applyNumberFormat="1" applyFont="1" applyFill="1" applyBorder="1" applyAlignment="1">
      <alignment horizontal="center" vertical="center"/>
    </xf>
    <xf numFmtId="0" fontId="29" fillId="12" borderId="1" xfId="0" applyFont="1" applyFill="1" applyBorder="1" applyAlignment="1">
      <alignment horizontal="center" vertical="center"/>
    </xf>
    <xf numFmtId="0" fontId="30" fillId="12" borderId="1" xfId="0" applyFont="1" applyFill="1" applyBorder="1" applyAlignment="1">
      <alignment horizontal="center" vertical="center"/>
    </xf>
    <xf numFmtId="0" fontId="31" fillId="12" borderId="1" xfId="0" applyFont="1" applyFill="1" applyBorder="1" applyAlignment="1">
      <alignment horizontal="center" vertical="center"/>
    </xf>
    <xf numFmtId="9" fontId="29" fillId="12" borderId="1" xfId="0" applyNumberFormat="1" applyFont="1" applyFill="1" applyBorder="1" applyAlignment="1">
      <alignment horizontal="center" vertical="center"/>
    </xf>
    <xf numFmtId="0" fontId="29" fillId="13" borderId="1" xfId="0" applyFont="1" applyFill="1" applyBorder="1" applyAlignment="1">
      <alignment horizontal="center" vertical="center"/>
    </xf>
    <xf numFmtId="0" fontId="30" fillId="13" borderId="1" xfId="0" applyFont="1" applyFill="1" applyBorder="1" applyAlignment="1">
      <alignment horizontal="center" vertical="center"/>
    </xf>
    <xf numFmtId="0" fontId="31" fillId="13" borderId="1" xfId="0" applyFont="1" applyFill="1" applyBorder="1" applyAlignment="1">
      <alignment horizontal="center" vertical="center"/>
    </xf>
    <xf numFmtId="9" fontId="29" fillId="13" borderId="1" xfId="0" applyNumberFormat="1" applyFont="1" applyFill="1" applyBorder="1" applyAlignment="1">
      <alignment horizontal="center" vertical="center"/>
    </xf>
    <xf numFmtId="0" fontId="29" fillId="15" borderId="1" xfId="0" applyFont="1" applyFill="1" applyBorder="1" applyAlignment="1">
      <alignment horizontal="center" vertical="center"/>
    </xf>
    <xf numFmtId="0" fontId="30" fillId="15" borderId="1" xfId="0" applyFont="1" applyFill="1" applyBorder="1" applyAlignment="1">
      <alignment horizontal="center" vertical="center"/>
    </xf>
    <xf numFmtId="0" fontId="31" fillId="15" borderId="1" xfId="0" applyFont="1" applyFill="1" applyBorder="1" applyAlignment="1">
      <alignment horizontal="center" vertical="center"/>
    </xf>
    <xf numFmtId="9" fontId="29" fillId="15" borderId="1" xfId="0" applyNumberFormat="1" applyFont="1" applyFill="1" applyBorder="1" applyAlignment="1">
      <alignment horizontal="center" vertical="center"/>
    </xf>
    <xf numFmtId="0" fontId="29" fillId="17" borderId="1" xfId="0" applyFont="1" applyFill="1" applyBorder="1" applyAlignment="1">
      <alignment horizontal="center" vertical="center"/>
    </xf>
    <xf numFmtId="0" fontId="30" fillId="17" borderId="1" xfId="0" applyFont="1" applyFill="1" applyBorder="1" applyAlignment="1">
      <alignment horizontal="center" vertical="center"/>
    </xf>
    <xf numFmtId="0" fontId="31" fillId="17" borderId="1" xfId="0" applyFont="1" applyFill="1" applyBorder="1" applyAlignment="1">
      <alignment horizontal="center" vertical="center"/>
    </xf>
    <xf numFmtId="9" fontId="29" fillId="17" borderId="1" xfId="0" applyNumberFormat="1" applyFont="1" applyFill="1" applyBorder="1" applyAlignment="1">
      <alignment horizontal="center" vertical="center"/>
    </xf>
    <xf numFmtId="0" fontId="29" fillId="19" borderId="1" xfId="0" applyFont="1" applyFill="1" applyBorder="1" applyAlignment="1">
      <alignment horizontal="center" vertical="center"/>
    </xf>
    <xf numFmtId="0" fontId="30" fillId="19" borderId="1" xfId="0" applyFont="1" applyFill="1" applyBorder="1" applyAlignment="1">
      <alignment horizontal="center" vertical="center"/>
    </xf>
    <xf numFmtId="0" fontId="31" fillId="19" borderId="1" xfId="0" applyFont="1" applyFill="1" applyBorder="1" applyAlignment="1">
      <alignment horizontal="center" vertical="center"/>
    </xf>
    <xf numFmtId="9" fontId="29" fillId="19" borderId="1" xfId="0" applyNumberFormat="1" applyFont="1" applyFill="1" applyBorder="1" applyAlignment="1">
      <alignment horizontal="center" vertical="center"/>
    </xf>
    <xf numFmtId="0" fontId="29" fillId="21" borderId="1" xfId="0" applyFont="1" applyFill="1" applyBorder="1" applyAlignment="1">
      <alignment horizontal="center" vertical="center"/>
    </xf>
    <xf numFmtId="0" fontId="30" fillId="21" borderId="1" xfId="0" applyFont="1" applyFill="1" applyBorder="1" applyAlignment="1">
      <alignment horizontal="center" vertical="center"/>
    </xf>
    <xf numFmtId="0" fontId="31" fillId="21" borderId="1" xfId="0" applyFont="1" applyFill="1" applyBorder="1" applyAlignment="1">
      <alignment horizontal="center" vertical="center"/>
    </xf>
    <xf numFmtId="9" fontId="29" fillId="21" borderId="1" xfId="0" applyNumberFormat="1" applyFont="1" applyFill="1" applyBorder="1" applyAlignment="1">
      <alignment horizontal="center" vertical="center"/>
    </xf>
    <xf numFmtId="0" fontId="29" fillId="23" borderId="1" xfId="0" applyFont="1" applyFill="1" applyBorder="1" applyAlignment="1">
      <alignment horizontal="center" vertical="center"/>
    </xf>
    <xf numFmtId="0" fontId="30" fillId="23" borderId="1" xfId="0" applyFont="1" applyFill="1" applyBorder="1" applyAlignment="1">
      <alignment horizontal="center" vertical="center"/>
    </xf>
    <xf numFmtId="0" fontId="31" fillId="23" borderId="1" xfId="0" applyFont="1" applyFill="1" applyBorder="1" applyAlignment="1">
      <alignment horizontal="center" vertical="center"/>
    </xf>
    <xf numFmtId="9" fontId="29" fillId="23" borderId="1" xfId="0" applyNumberFormat="1" applyFont="1" applyFill="1" applyBorder="1" applyAlignment="1">
      <alignment horizontal="center" vertical="center"/>
    </xf>
    <xf numFmtId="9" fontId="3" fillId="3" borderId="1" xfId="0" applyNumberFormat="1" applyFont="1" applyFill="1" applyBorder="1" applyAlignment="1">
      <alignment horizontal="center" vertical="center"/>
    </xf>
    <xf numFmtId="0" fontId="0" fillId="4" borderId="1" xfId="0" applyFill="1" applyBorder="1"/>
    <xf numFmtId="0" fontId="0" fillId="6" borderId="1" xfId="0" applyFill="1" applyBorder="1"/>
    <xf numFmtId="0" fontId="32" fillId="0" borderId="0" xfId="0" applyFont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33" fillId="24" borderId="0" xfId="0" applyFont="1" applyFill="1" applyAlignment="1">
      <alignment horizontal="center"/>
    </xf>
    <xf numFmtId="0" fontId="28" fillId="2" borderId="0" xfId="0" applyFont="1" applyFill="1" applyAlignment="1">
      <alignment horizontal="left" vertical="center"/>
    </xf>
    <xf numFmtId="0" fontId="26" fillId="22" borderId="3" xfId="0" applyFont="1" applyFill="1" applyBorder="1" applyAlignment="1">
      <alignment horizontal="center" vertical="center"/>
    </xf>
    <xf numFmtId="0" fontId="26" fillId="22" borderId="0" xfId="0" applyFont="1" applyFill="1" applyAlignment="1">
      <alignment horizontal="center" vertical="center"/>
    </xf>
    <xf numFmtId="0" fontId="26" fillId="22" borderId="2" xfId="0" applyFont="1" applyFill="1" applyBorder="1" applyAlignment="1">
      <alignment horizontal="center" vertical="center"/>
    </xf>
    <xf numFmtId="0" fontId="18" fillId="14" borderId="3" xfId="0" applyFont="1" applyFill="1" applyBorder="1" applyAlignment="1">
      <alignment horizontal="center" vertical="center"/>
    </xf>
    <xf numFmtId="0" fontId="18" fillId="14" borderId="0" xfId="0" applyFont="1" applyFill="1" applyAlignment="1">
      <alignment horizontal="center" vertical="center"/>
    </xf>
    <xf numFmtId="0" fontId="18" fillId="14" borderId="2" xfId="0" applyFont="1" applyFill="1" applyBorder="1" applyAlignment="1">
      <alignment horizontal="center" vertical="center"/>
    </xf>
    <xf numFmtId="0" fontId="16" fillId="6" borderId="3" xfId="0" applyFont="1" applyFill="1" applyBorder="1" applyAlignment="1">
      <alignment horizontal="center" vertical="center"/>
    </xf>
    <xf numFmtId="0" fontId="16" fillId="6" borderId="0" xfId="0" applyFont="1" applyFill="1" applyAlignment="1">
      <alignment horizontal="center" vertical="center"/>
    </xf>
    <xf numFmtId="0" fontId="16" fillId="6" borderId="2" xfId="0" applyFont="1" applyFill="1" applyBorder="1" applyAlignment="1">
      <alignment horizontal="center" vertical="center"/>
    </xf>
    <xf numFmtId="0" fontId="20" fillId="16" borderId="3" xfId="0" applyFont="1" applyFill="1" applyBorder="1" applyAlignment="1">
      <alignment horizontal="center" vertical="center"/>
    </xf>
    <xf numFmtId="0" fontId="20" fillId="16" borderId="0" xfId="0" applyFont="1" applyFill="1" applyAlignment="1">
      <alignment horizontal="center" vertical="center"/>
    </xf>
    <xf numFmtId="0" fontId="20" fillId="16" borderId="2" xfId="0" applyFont="1" applyFill="1" applyBorder="1" applyAlignment="1">
      <alignment horizontal="center" vertical="center"/>
    </xf>
    <xf numFmtId="0" fontId="22" fillId="18" borderId="3" xfId="0" applyFont="1" applyFill="1" applyBorder="1" applyAlignment="1">
      <alignment horizontal="center" vertical="center"/>
    </xf>
    <xf numFmtId="0" fontId="22" fillId="18" borderId="0" xfId="0" applyFont="1" applyFill="1" applyAlignment="1">
      <alignment horizontal="center" vertical="center"/>
    </xf>
    <xf numFmtId="0" fontId="22" fillId="18" borderId="2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 vertical="center"/>
    </xf>
    <xf numFmtId="0" fontId="24" fillId="20" borderId="0" xfId="0" applyFont="1" applyFill="1" applyAlignment="1">
      <alignment horizontal="center" vertical="center"/>
    </xf>
    <xf numFmtId="0" fontId="24" fillId="20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10" fillId="7" borderId="3" xfId="0" applyFont="1" applyFill="1" applyBorder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0" fontId="10" fillId="7" borderId="2" xfId="0" applyFont="1" applyFill="1" applyBorder="1" applyAlignment="1">
      <alignment horizontal="center" vertical="center"/>
    </xf>
    <xf numFmtId="0" fontId="12" fillId="9" borderId="3" xfId="0" applyFont="1" applyFill="1" applyBorder="1" applyAlignment="1">
      <alignment horizontal="center" vertical="center"/>
    </xf>
    <xf numFmtId="0" fontId="12" fillId="9" borderId="0" xfId="0" applyFont="1" applyFill="1" applyAlignment="1">
      <alignment horizontal="center" vertical="center"/>
    </xf>
    <xf numFmtId="0" fontId="12" fillId="9" borderId="2" xfId="0" applyFont="1" applyFill="1" applyBorder="1" applyAlignment="1">
      <alignment horizontal="center" vertical="center"/>
    </xf>
    <xf numFmtId="0" fontId="14" fillId="11" borderId="3" xfId="0" applyFont="1" applyFill="1" applyBorder="1" applyAlignment="1">
      <alignment horizontal="center" vertical="center"/>
    </xf>
    <xf numFmtId="0" fontId="14" fillId="11" borderId="0" xfId="0" applyFont="1" applyFill="1" applyAlignment="1">
      <alignment horizontal="center" vertical="center"/>
    </xf>
    <xf numFmtId="0" fontId="14" fillId="11" borderId="2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0" fillId="0" borderId="0" xfId="0" applyAlignment="1"/>
    <xf numFmtId="0" fontId="0" fillId="4" borderId="1" xfId="0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4"/>
  <sheetViews>
    <sheetView workbookViewId="0">
      <pane ySplit="4" topLeftCell="A29" activePane="bottomLeft" state="frozen"/>
      <selection pane="bottomLeft" activeCell="J4" sqref="J4:K4"/>
    </sheetView>
  </sheetViews>
  <sheetFormatPr defaultRowHeight="14.45"/>
  <cols>
    <col min="1" max="1" width="5" customWidth="1"/>
    <col min="2" max="2" width="28" customWidth="1"/>
    <col min="3" max="3" width="22" customWidth="1"/>
    <col min="4" max="4" width="60" customWidth="1"/>
    <col min="5" max="5" width="14" customWidth="1"/>
    <col min="6" max="6" width="20" customWidth="1"/>
    <col min="7" max="7" width="28" customWidth="1"/>
    <col min="8" max="9" width="19.140625" customWidth="1"/>
  </cols>
  <sheetData>
    <row r="1" spans="1:9" ht="36" customHeight="1">
      <c r="A1" s="139" t="s">
        <v>0</v>
      </c>
      <c r="B1" s="153"/>
      <c r="C1" s="153"/>
      <c r="D1" s="153"/>
      <c r="E1" s="153"/>
      <c r="F1" s="153"/>
      <c r="G1" s="153"/>
      <c r="H1" s="117"/>
    </row>
    <row r="2" spans="1:9" ht="21.95" customHeight="1">
      <c r="A2" s="140" t="s">
        <v>1</v>
      </c>
      <c r="B2" s="153"/>
      <c r="C2" s="153"/>
      <c r="D2" s="153"/>
      <c r="E2" s="153"/>
      <c r="F2" s="153"/>
      <c r="G2" s="153"/>
      <c r="H2" s="117"/>
    </row>
    <row r="3" spans="1:9" ht="8.1" customHeight="1">
      <c r="H3" s="117"/>
    </row>
    <row r="4" spans="1:9" ht="21.95" customHeight="1">
      <c r="A4" s="1" t="s">
        <v>2</v>
      </c>
      <c r="B4" s="1" t="s">
        <v>3</v>
      </c>
      <c r="C4" s="1" t="s">
        <v>4</v>
      </c>
      <c r="D4" s="2" t="s">
        <v>5</v>
      </c>
      <c r="E4" s="1" t="s">
        <v>6</v>
      </c>
      <c r="F4" s="1" t="s">
        <v>7</v>
      </c>
      <c r="G4" s="1" t="s">
        <v>8</v>
      </c>
      <c r="H4" s="118" t="s">
        <v>9</v>
      </c>
      <c r="I4" s="118" t="s">
        <v>6</v>
      </c>
    </row>
    <row r="5" spans="1:9" ht="20.100000000000001" customHeight="1">
      <c r="A5" s="141" t="s">
        <v>10</v>
      </c>
      <c r="B5" s="154"/>
      <c r="C5" s="154"/>
      <c r="D5" s="154"/>
      <c r="E5" s="154"/>
      <c r="F5" s="154"/>
      <c r="G5" s="154"/>
      <c r="H5" s="117"/>
      <c r="I5" s="115"/>
    </row>
    <row r="6" spans="1:9" ht="30" customHeight="1">
      <c r="A6" s="4">
        <v>1</v>
      </c>
      <c r="B6" s="5" t="s">
        <v>11</v>
      </c>
      <c r="C6" s="6" t="s">
        <v>12</v>
      </c>
      <c r="D6" s="7" t="s">
        <v>13</v>
      </c>
      <c r="E6" s="8" t="s">
        <v>14</v>
      </c>
      <c r="F6" s="9"/>
      <c r="G6" s="10"/>
      <c r="H6" s="119" t="s">
        <v>15</v>
      </c>
      <c r="I6" s="8" t="s">
        <v>14</v>
      </c>
    </row>
    <row r="7" spans="1:9" ht="30" customHeight="1">
      <c r="A7" s="4">
        <v>2</v>
      </c>
      <c r="B7" s="5" t="s">
        <v>11</v>
      </c>
      <c r="C7" s="6" t="s">
        <v>12</v>
      </c>
      <c r="D7" s="7" t="s">
        <v>16</v>
      </c>
      <c r="E7" s="8" t="s">
        <v>14</v>
      </c>
      <c r="F7" s="9"/>
      <c r="G7" s="10"/>
      <c r="H7" s="119" t="s">
        <v>15</v>
      </c>
      <c r="I7" s="8" t="s">
        <v>14</v>
      </c>
    </row>
    <row r="8" spans="1:9" ht="30" customHeight="1">
      <c r="A8" s="4">
        <v>3</v>
      </c>
      <c r="B8" s="5" t="s">
        <v>11</v>
      </c>
      <c r="C8" s="6" t="s">
        <v>12</v>
      </c>
      <c r="D8" s="7" t="s">
        <v>17</v>
      </c>
      <c r="E8" s="8" t="s">
        <v>14</v>
      </c>
      <c r="F8" s="9"/>
      <c r="G8" s="10"/>
      <c r="H8" s="119" t="s">
        <v>15</v>
      </c>
      <c r="I8" s="8" t="s">
        <v>14</v>
      </c>
    </row>
    <row r="9" spans="1:9" ht="30" customHeight="1">
      <c r="A9" s="4">
        <v>4</v>
      </c>
      <c r="B9" s="5" t="s">
        <v>11</v>
      </c>
      <c r="C9" s="6" t="s">
        <v>12</v>
      </c>
      <c r="D9" s="7" t="s">
        <v>18</v>
      </c>
      <c r="E9" s="8" t="s">
        <v>14</v>
      </c>
      <c r="F9" s="9"/>
      <c r="G9" s="10"/>
      <c r="H9" s="119" t="s">
        <v>15</v>
      </c>
      <c r="I9" s="8" t="s">
        <v>14</v>
      </c>
    </row>
    <row r="10" spans="1:9" ht="30" customHeight="1">
      <c r="A10" s="4">
        <v>5</v>
      </c>
      <c r="B10" s="5" t="s">
        <v>11</v>
      </c>
      <c r="C10" s="6" t="s">
        <v>19</v>
      </c>
      <c r="D10" s="7" t="s">
        <v>20</v>
      </c>
      <c r="E10" s="8" t="s">
        <v>14</v>
      </c>
      <c r="F10" s="9"/>
      <c r="G10" s="10"/>
      <c r="H10" s="119" t="s">
        <v>15</v>
      </c>
      <c r="I10" s="8" t="s">
        <v>14</v>
      </c>
    </row>
    <row r="11" spans="1:9" ht="30" customHeight="1">
      <c r="A11" s="4">
        <v>6</v>
      </c>
      <c r="B11" s="5" t="s">
        <v>11</v>
      </c>
      <c r="C11" s="6" t="s">
        <v>19</v>
      </c>
      <c r="D11" s="7" t="s">
        <v>21</v>
      </c>
      <c r="E11" s="8" t="s">
        <v>14</v>
      </c>
      <c r="F11" s="9"/>
      <c r="G11" s="10"/>
      <c r="H11" s="119" t="s">
        <v>15</v>
      </c>
      <c r="I11" s="8" t="s">
        <v>14</v>
      </c>
    </row>
    <row r="12" spans="1:9" ht="30" customHeight="1">
      <c r="A12" s="4">
        <v>7</v>
      </c>
      <c r="B12" s="5" t="s">
        <v>11</v>
      </c>
      <c r="C12" s="6" t="s">
        <v>19</v>
      </c>
      <c r="D12" s="7" t="s">
        <v>22</v>
      </c>
      <c r="E12" s="8" t="s">
        <v>14</v>
      </c>
      <c r="F12" s="9"/>
      <c r="G12" s="10"/>
      <c r="H12" s="119" t="s">
        <v>15</v>
      </c>
      <c r="I12" s="8" t="s">
        <v>14</v>
      </c>
    </row>
    <row r="13" spans="1:9" ht="30" customHeight="1">
      <c r="A13" s="4">
        <v>8</v>
      </c>
      <c r="B13" s="5" t="s">
        <v>11</v>
      </c>
      <c r="C13" s="6" t="s">
        <v>23</v>
      </c>
      <c r="D13" s="7" t="s">
        <v>24</v>
      </c>
      <c r="E13" s="8" t="s">
        <v>14</v>
      </c>
      <c r="F13" s="9"/>
      <c r="G13" s="10"/>
      <c r="H13" s="119" t="s">
        <v>15</v>
      </c>
      <c r="I13" s="8" t="s">
        <v>14</v>
      </c>
    </row>
    <row r="14" spans="1:9" ht="30" customHeight="1">
      <c r="A14" s="4">
        <v>9</v>
      </c>
      <c r="B14" s="5" t="s">
        <v>11</v>
      </c>
      <c r="C14" s="6" t="s">
        <v>23</v>
      </c>
      <c r="D14" s="7" t="s">
        <v>25</v>
      </c>
      <c r="E14" s="8" t="s">
        <v>14</v>
      </c>
      <c r="F14" s="9"/>
      <c r="G14" s="10"/>
      <c r="H14" s="119" t="s">
        <v>15</v>
      </c>
      <c r="I14" s="8" t="s">
        <v>14</v>
      </c>
    </row>
    <row r="15" spans="1:9" ht="30" customHeight="1">
      <c r="A15" s="4">
        <v>10</v>
      </c>
      <c r="B15" s="5" t="s">
        <v>11</v>
      </c>
      <c r="C15" s="6" t="s">
        <v>23</v>
      </c>
      <c r="D15" s="7" t="s">
        <v>26</v>
      </c>
      <c r="E15" s="8" t="s">
        <v>14</v>
      </c>
      <c r="F15" s="9"/>
      <c r="G15" s="10"/>
      <c r="H15" s="119" t="s">
        <v>15</v>
      </c>
      <c r="I15" s="8" t="s">
        <v>14</v>
      </c>
    </row>
    <row r="16" spans="1:9" ht="30" customHeight="1">
      <c r="A16" s="4">
        <v>11</v>
      </c>
      <c r="B16" s="5" t="s">
        <v>11</v>
      </c>
      <c r="C16" s="6" t="s">
        <v>23</v>
      </c>
      <c r="D16" s="7" t="s">
        <v>27</v>
      </c>
      <c r="E16" s="8" t="s">
        <v>14</v>
      </c>
      <c r="F16" s="9"/>
      <c r="G16" s="10"/>
      <c r="H16" s="119" t="s">
        <v>15</v>
      </c>
      <c r="I16" s="8" t="s">
        <v>14</v>
      </c>
    </row>
    <row r="17" spans="1:9" ht="30" customHeight="1">
      <c r="A17" s="4">
        <v>12</v>
      </c>
      <c r="B17" s="5" t="s">
        <v>11</v>
      </c>
      <c r="C17" s="6" t="s">
        <v>28</v>
      </c>
      <c r="D17" s="7" t="s">
        <v>29</v>
      </c>
      <c r="E17" s="8" t="s">
        <v>14</v>
      </c>
      <c r="F17" s="9"/>
      <c r="G17" s="10"/>
      <c r="H17" s="119" t="s">
        <v>15</v>
      </c>
      <c r="I17" s="8" t="s">
        <v>14</v>
      </c>
    </row>
    <row r="18" spans="1:9" ht="30" customHeight="1">
      <c r="A18" s="4">
        <v>13</v>
      </c>
      <c r="B18" s="5" t="s">
        <v>11</v>
      </c>
      <c r="C18" s="6" t="s">
        <v>28</v>
      </c>
      <c r="D18" s="7" t="s">
        <v>30</v>
      </c>
      <c r="E18" s="8" t="s">
        <v>14</v>
      </c>
      <c r="F18" s="9"/>
      <c r="G18" s="10"/>
      <c r="H18" s="119" t="s">
        <v>15</v>
      </c>
      <c r="I18" s="8" t="s">
        <v>14</v>
      </c>
    </row>
    <row r="19" spans="1:9" ht="30" customHeight="1">
      <c r="A19" s="4">
        <v>14</v>
      </c>
      <c r="B19" s="5" t="s">
        <v>11</v>
      </c>
      <c r="C19" s="6" t="s">
        <v>28</v>
      </c>
      <c r="D19" s="7" t="s">
        <v>31</v>
      </c>
      <c r="E19" s="8" t="s">
        <v>14</v>
      </c>
      <c r="F19" s="9"/>
      <c r="G19" s="10"/>
      <c r="H19" s="119" t="s">
        <v>15</v>
      </c>
      <c r="I19" s="8" t="s">
        <v>14</v>
      </c>
    </row>
    <row r="20" spans="1:9" ht="20.100000000000001" customHeight="1">
      <c r="A20" s="142" t="s">
        <v>32</v>
      </c>
      <c r="B20" s="143"/>
      <c r="C20" s="143"/>
      <c r="D20" s="143"/>
      <c r="E20" s="143"/>
      <c r="F20" s="143"/>
      <c r="G20" s="143"/>
      <c r="H20" s="143"/>
      <c r="I20" s="144"/>
    </row>
    <row r="21" spans="1:9" ht="30" customHeight="1">
      <c r="A21" s="12">
        <v>15</v>
      </c>
      <c r="B21" s="13" t="s">
        <v>33</v>
      </c>
      <c r="C21" s="14" t="s">
        <v>34</v>
      </c>
      <c r="D21" s="15" t="s">
        <v>35</v>
      </c>
      <c r="E21" s="8" t="s">
        <v>14</v>
      </c>
      <c r="F21" s="16"/>
      <c r="G21" s="17"/>
      <c r="H21" s="119" t="s">
        <v>15</v>
      </c>
      <c r="I21" s="8" t="s">
        <v>14</v>
      </c>
    </row>
    <row r="22" spans="1:9" ht="30" customHeight="1">
      <c r="A22" s="12">
        <v>16</v>
      </c>
      <c r="B22" s="13" t="s">
        <v>33</v>
      </c>
      <c r="C22" s="14" t="s">
        <v>34</v>
      </c>
      <c r="D22" s="15" t="s">
        <v>36</v>
      </c>
      <c r="E22" s="8" t="s">
        <v>14</v>
      </c>
      <c r="F22" s="16"/>
      <c r="G22" s="17"/>
      <c r="H22" s="119" t="s">
        <v>15</v>
      </c>
      <c r="I22" s="8" t="s">
        <v>14</v>
      </c>
    </row>
    <row r="23" spans="1:9" ht="30" customHeight="1">
      <c r="A23" s="12">
        <v>17</v>
      </c>
      <c r="B23" s="13" t="s">
        <v>33</v>
      </c>
      <c r="C23" s="14" t="s">
        <v>34</v>
      </c>
      <c r="D23" s="15" t="s">
        <v>37</v>
      </c>
      <c r="E23" s="8" t="s">
        <v>14</v>
      </c>
      <c r="F23" s="16"/>
      <c r="G23" s="17"/>
      <c r="H23" s="119" t="s">
        <v>15</v>
      </c>
      <c r="I23" s="8" t="s">
        <v>14</v>
      </c>
    </row>
    <row r="24" spans="1:9" ht="30" customHeight="1">
      <c r="A24" s="12">
        <v>18</v>
      </c>
      <c r="B24" s="13" t="s">
        <v>33</v>
      </c>
      <c r="C24" s="14" t="s">
        <v>38</v>
      </c>
      <c r="D24" s="15" t="s">
        <v>39</v>
      </c>
      <c r="E24" s="8" t="s">
        <v>14</v>
      </c>
      <c r="F24" s="16"/>
      <c r="G24" s="17"/>
      <c r="H24" s="119" t="s">
        <v>15</v>
      </c>
      <c r="I24" s="8" t="s">
        <v>14</v>
      </c>
    </row>
    <row r="25" spans="1:9" ht="30" customHeight="1">
      <c r="A25" s="12">
        <v>19</v>
      </c>
      <c r="B25" s="13" t="s">
        <v>33</v>
      </c>
      <c r="C25" s="14" t="s">
        <v>38</v>
      </c>
      <c r="D25" s="15" t="s">
        <v>40</v>
      </c>
      <c r="E25" s="8" t="s">
        <v>14</v>
      </c>
      <c r="F25" s="16"/>
      <c r="G25" s="17"/>
      <c r="H25" s="119" t="s">
        <v>15</v>
      </c>
      <c r="I25" s="8" t="s">
        <v>14</v>
      </c>
    </row>
    <row r="26" spans="1:9" ht="30" customHeight="1">
      <c r="A26" s="12">
        <v>20</v>
      </c>
      <c r="B26" s="13" t="s">
        <v>33</v>
      </c>
      <c r="C26" s="14" t="s">
        <v>38</v>
      </c>
      <c r="D26" s="15" t="s">
        <v>41</v>
      </c>
      <c r="E26" s="8" t="s">
        <v>14</v>
      </c>
      <c r="F26" s="16"/>
      <c r="G26" s="17"/>
      <c r="H26" s="119" t="s">
        <v>15</v>
      </c>
      <c r="I26" s="8" t="s">
        <v>14</v>
      </c>
    </row>
    <row r="27" spans="1:9" ht="30" customHeight="1">
      <c r="A27" s="12">
        <v>21</v>
      </c>
      <c r="B27" s="13" t="s">
        <v>33</v>
      </c>
      <c r="C27" s="14" t="s">
        <v>38</v>
      </c>
      <c r="D27" s="15" t="s">
        <v>42</v>
      </c>
      <c r="E27" s="8" t="s">
        <v>14</v>
      </c>
      <c r="F27" s="16"/>
      <c r="G27" s="17"/>
      <c r="H27" s="119" t="s">
        <v>15</v>
      </c>
      <c r="I27" s="8" t="s">
        <v>14</v>
      </c>
    </row>
    <row r="28" spans="1:9" ht="30" customHeight="1">
      <c r="A28" s="12">
        <v>22</v>
      </c>
      <c r="B28" s="13" t="s">
        <v>33</v>
      </c>
      <c r="C28" s="14" t="s">
        <v>38</v>
      </c>
      <c r="D28" s="15" t="s">
        <v>43</v>
      </c>
      <c r="E28" s="8" t="s">
        <v>14</v>
      </c>
      <c r="F28" s="16"/>
      <c r="G28" s="17"/>
      <c r="H28" s="119" t="s">
        <v>15</v>
      </c>
      <c r="I28" s="8" t="s">
        <v>14</v>
      </c>
    </row>
    <row r="29" spans="1:9" ht="30" customHeight="1">
      <c r="A29" s="12">
        <v>23</v>
      </c>
      <c r="B29" s="13" t="s">
        <v>33</v>
      </c>
      <c r="C29" s="14" t="s">
        <v>44</v>
      </c>
      <c r="D29" s="15" t="s">
        <v>45</v>
      </c>
      <c r="E29" s="8" t="s">
        <v>14</v>
      </c>
      <c r="F29" s="16"/>
      <c r="G29" s="17"/>
      <c r="H29" s="119" t="s">
        <v>15</v>
      </c>
      <c r="I29" s="8" t="s">
        <v>14</v>
      </c>
    </row>
    <row r="30" spans="1:9" ht="30" customHeight="1">
      <c r="A30" s="12">
        <v>24</v>
      </c>
      <c r="B30" s="13" t="s">
        <v>33</v>
      </c>
      <c r="C30" s="14" t="s">
        <v>44</v>
      </c>
      <c r="D30" s="15" t="s">
        <v>46</v>
      </c>
      <c r="E30" s="8" t="s">
        <v>14</v>
      </c>
      <c r="F30" s="16"/>
      <c r="G30" s="17"/>
      <c r="H30" s="119" t="s">
        <v>15</v>
      </c>
      <c r="I30" s="8" t="s">
        <v>14</v>
      </c>
    </row>
    <row r="31" spans="1:9" ht="30" customHeight="1">
      <c r="A31" s="12">
        <v>25</v>
      </c>
      <c r="B31" s="13" t="s">
        <v>33</v>
      </c>
      <c r="C31" s="14" t="s">
        <v>44</v>
      </c>
      <c r="D31" s="15" t="s">
        <v>47</v>
      </c>
      <c r="E31" s="8" t="s">
        <v>14</v>
      </c>
      <c r="F31" s="16"/>
      <c r="G31" s="17"/>
      <c r="H31" s="119" t="s">
        <v>15</v>
      </c>
      <c r="I31" s="116"/>
    </row>
    <row r="32" spans="1:9" ht="20.100000000000001" customHeight="1">
      <c r="A32" s="145" t="s">
        <v>48</v>
      </c>
      <c r="B32" s="146"/>
      <c r="C32" s="146"/>
      <c r="D32" s="146"/>
      <c r="E32" s="146"/>
      <c r="F32" s="146"/>
      <c r="G32" s="146"/>
      <c r="H32" s="146"/>
      <c r="I32" s="147"/>
    </row>
    <row r="33" spans="1:9" ht="30" customHeight="1">
      <c r="A33" s="19">
        <v>26</v>
      </c>
      <c r="B33" s="20" t="s">
        <v>49</v>
      </c>
      <c r="C33" s="21" t="s">
        <v>50</v>
      </c>
      <c r="D33" s="22" t="s">
        <v>51</v>
      </c>
      <c r="E33" s="8" t="s">
        <v>14</v>
      </c>
      <c r="F33" s="23"/>
      <c r="G33" s="24"/>
      <c r="H33" s="119" t="s">
        <v>15</v>
      </c>
      <c r="I33" s="8" t="s">
        <v>14</v>
      </c>
    </row>
    <row r="34" spans="1:9" ht="30" customHeight="1">
      <c r="A34" s="19">
        <v>27</v>
      </c>
      <c r="B34" s="20" t="s">
        <v>49</v>
      </c>
      <c r="C34" s="21" t="s">
        <v>50</v>
      </c>
      <c r="D34" s="22" t="s">
        <v>52</v>
      </c>
      <c r="E34" s="8" t="s">
        <v>14</v>
      </c>
      <c r="F34" s="23"/>
      <c r="G34" s="24"/>
      <c r="H34" s="119" t="s">
        <v>15</v>
      </c>
      <c r="I34" s="8" t="s">
        <v>14</v>
      </c>
    </row>
    <row r="35" spans="1:9" ht="30" customHeight="1">
      <c r="A35" s="19">
        <v>28</v>
      </c>
      <c r="B35" s="20" t="s">
        <v>49</v>
      </c>
      <c r="C35" s="21" t="s">
        <v>50</v>
      </c>
      <c r="D35" s="22" t="s">
        <v>53</v>
      </c>
      <c r="E35" s="8" t="s">
        <v>14</v>
      </c>
      <c r="F35" s="23"/>
      <c r="G35" s="24"/>
      <c r="H35" s="119" t="s">
        <v>15</v>
      </c>
      <c r="I35" s="8" t="s">
        <v>14</v>
      </c>
    </row>
    <row r="36" spans="1:9" ht="30" customHeight="1">
      <c r="A36" s="19">
        <v>29</v>
      </c>
      <c r="B36" s="20" t="s">
        <v>49</v>
      </c>
      <c r="C36" s="21" t="s">
        <v>50</v>
      </c>
      <c r="D36" s="22" t="s">
        <v>54</v>
      </c>
      <c r="E36" s="8" t="s">
        <v>14</v>
      </c>
      <c r="F36" s="23"/>
      <c r="G36" s="24"/>
      <c r="H36" s="119" t="s">
        <v>15</v>
      </c>
      <c r="I36" s="8" t="s">
        <v>14</v>
      </c>
    </row>
    <row r="37" spans="1:9" ht="30" customHeight="1">
      <c r="A37" s="19">
        <v>30</v>
      </c>
      <c r="B37" s="20" t="s">
        <v>49</v>
      </c>
      <c r="C37" s="21" t="s">
        <v>50</v>
      </c>
      <c r="D37" s="22" t="s">
        <v>55</v>
      </c>
      <c r="E37" s="8" t="s">
        <v>14</v>
      </c>
      <c r="F37" s="23"/>
      <c r="G37" s="24"/>
      <c r="H37" s="119" t="s">
        <v>15</v>
      </c>
      <c r="I37" s="8" t="s">
        <v>14</v>
      </c>
    </row>
    <row r="38" spans="1:9" ht="30" customHeight="1">
      <c r="A38" s="19">
        <v>31</v>
      </c>
      <c r="B38" s="20" t="s">
        <v>49</v>
      </c>
      <c r="C38" s="21" t="s">
        <v>50</v>
      </c>
      <c r="D38" s="22" t="s">
        <v>56</v>
      </c>
      <c r="E38" s="8" t="s">
        <v>14</v>
      </c>
      <c r="F38" s="23"/>
      <c r="G38" s="24"/>
      <c r="H38" s="119" t="s">
        <v>15</v>
      </c>
      <c r="I38" s="8" t="s">
        <v>14</v>
      </c>
    </row>
    <row r="39" spans="1:9" ht="30" customHeight="1">
      <c r="A39" s="19">
        <v>32</v>
      </c>
      <c r="B39" s="20" t="s">
        <v>49</v>
      </c>
      <c r="C39" s="21" t="s">
        <v>50</v>
      </c>
      <c r="D39" s="22" t="s">
        <v>57</v>
      </c>
      <c r="E39" s="8" t="s">
        <v>14</v>
      </c>
      <c r="F39" s="23"/>
      <c r="G39" s="24"/>
      <c r="H39" s="119" t="s">
        <v>15</v>
      </c>
      <c r="I39" s="8" t="s">
        <v>14</v>
      </c>
    </row>
    <row r="40" spans="1:9" ht="30" customHeight="1">
      <c r="A40" s="19">
        <v>33</v>
      </c>
      <c r="B40" s="20" t="s">
        <v>49</v>
      </c>
      <c r="C40" s="21" t="s">
        <v>58</v>
      </c>
      <c r="D40" s="22" t="s">
        <v>59</v>
      </c>
      <c r="E40" s="8" t="s">
        <v>14</v>
      </c>
      <c r="F40" s="23"/>
      <c r="G40" s="24"/>
      <c r="H40" s="119" t="s">
        <v>15</v>
      </c>
      <c r="I40" s="8" t="s">
        <v>14</v>
      </c>
    </row>
    <row r="41" spans="1:9" ht="30" customHeight="1">
      <c r="A41" s="19">
        <v>34</v>
      </c>
      <c r="B41" s="20" t="s">
        <v>49</v>
      </c>
      <c r="C41" s="21" t="s">
        <v>58</v>
      </c>
      <c r="D41" s="22" t="s">
        <v>60</v>
      </c>
      <c r="E41" s="8" t="s">
        <v>14</v>
      </c>
      <c r="F41" s="23"/>
      <c r="G41" s="24"/>
      <c r="H41" s="119" t="s">
        <v>15</v>
      </c>
      <c r="I41" s="8" t="s">
        <v>14</v>
      </c>
    </row>
    <row r="42" spans="1:9" ht="30" customHeight="1">
      <c r="A42" s="19">
        <v>35</v>
      </c>
      <c r="B42" s="20" t="s">
        <v>49</v>
      </c>
      <c r="C42" s="21" t="s">
        <v>58</v>
      </c>
      <c r="D42" s="22" t="s">
        <v>61</v>
      </c>
      <c r="E42" s="8" t="s">
        <v>14</v>
      </c>
      <c r="F42" s="23"/>
      <c r="G42" s="24"/>
      <c r="H42" s="119" t="s">
        <v>15</v>
      </c>
      <c r="I42" s="8" t="s">
        <v>14</v>
      </c>
    </row>
    <row r="43" spans="1:9" ht="30" customHeight="1">
      <c r="A43" s="19">
        <v>36</v>
      </c>
      <c r="B43" s="20" t="s">
        <v>49</v>
      </c>
      <c r="C43" s="21" t="s">
        <v>62</v>
      </c>
      <c r="D43" s="22" t="s">
        <v>63</v>
      </c>
      <c r="E43" s="8" t="s">
        <v>14</v>
      </c>
      <c r="F43" s="23"/>
      <c r="G43" s="24"/>
      <c r="H43" s="119" t="s">
        <v>15</v>
      </c>
      <c r="I43" s="8" t="s">
        <v>14</v>
      </c>
    </row>
    <row r="44" spans="1:9" ht="30" customHeight="1">
      <c r="A44" s="19">
        <v>37</v>
      </c>
      <c r="B44" s="20" t="s">
        <v>49</v>
      </c>
      <c r="C44" s="21" t="s">
        <v>62</v>
      </c>
      <c r="D44" s="22" t="s">
        <v>64</v>
      </c>
      <c r="E44" s="8" t="s">
        <v>14</v>
      </c>
      <c r="F44" s="23"/>
      <c r="G44" s="24"/>
      <c r="H44" s="119" t="s">
        <v>15</v>
      </c>
      <c r="I44" s="8" t="s">
        <v>14</v>
      </c>
    </row>
    <row r="45" spans="1:9" ht="30" customHeight="1">
      <c r="A45" s="19">
        <v>38</v>
      </c>
      <c r="B45" s="20" t="s">
        <v>49</v>
      </c>
      <c r="C45" s="21" t="s">
        <v>62</v>
      </c>
      <c r="D45" s="22" t="s">
        <v>65</v>
      </c>
      <c r="E45" s="8" t="s">
        <v>14</v>
      </c>
      <c r="F45" s="23"/>
      <c r="G45" s="24"/>
      <c r="H45" s="119" t="s">
        <v>15</v>
      </c>
      <c r="I45" s="8" t="s">
        <v>14</v>
      </c>
    </row>
    <row r="46" spans="1:9" ht="30" customHeight="1">
      <c r="A46" s="19">
        <v>39</v>
      </c>
      <c r="B46" s="20" t="s">
        <v>49</v>
      </c>
      <c r="C46" s="21" t="s">
        <v>66</v>
      </c>
      <c r="D46" s="22" t="s">
        <v>67</v>
      </c>
      <c r="E46" s="8" t="s">
        <v>14</v>
      </c>
      <c r="F46" s="23"/>
      <c r="G46" s="24"/>
      <c r="H46" s="119" t="s">
        <v>15</v>
      </c>
      <c r="I46" s="8" t="s">
        <v>14</v>
      </c>
    </row>
    <row r="47" spans="1:9" ht="30" customHeight="1">
      <c r="A47" s="19">
        <v>40</v>
      </c>
      <c r="B47" s="20" t="s">
        <v>49</v>
      </c>
      <c r="C47" s="21" t="s">
        <v>66</v>
      </c>
      <c r="D47" s="22" t="s">
        <v>68</v>
      </c>
      <c r="E47" s="8" t="s">
        <v>14</v>
      </c>
      <c r="F47" s="23"/>
      <c r="G47" s="24"/>
      <c r="H47" s="119" t="s">
        <v>15</v>
      </c>
      <c r="I47" s="8" t="s">
        <v>14</v>
      </c>
    </row>
    <row r="48" spans="1:9" ht="30" customHeight="1">
      <c r="A48" s="19">
        <v>41</v>
      </c>
      <c r="B48" s="20" t="s">
        <v>49</v>
      </c>
      <c r="C48" s="21" t="s">
        <v>66</v>
      </c>
      <c r="D48" s="22" t="s">
        <v>69</v>
      </c>
      <c r="E48" s="8" t="s">
        <v>14</v>
      </c>
      <c r="F48" s="23"/>
      <c r="G48" s="24"/>
      <c r="H48" s="119" t="s">
        <v>15</v>
      </c>
      <c r="I48" s="8" t="s">
        <v>14</v>
      </c>
    </row>
    <row r="49" spans="1:9" ht="20.100000000000001" customHeight="1">
      <c r="A49" s="148" t="s">
        <v>70</v>
      </c>
      <c r="B49" s="149"/>
      <c r="C49" s="149"/>
      <c r="D49" s="149"/>
      <c r="E49" s="149"/>
      <c r="F49" s="149"/>
      <c r="G49" s="149"/>
      <c r="H49" s="149"/>
      <c r="I49" s="150"/>
    </row>
    <row r="50" spans="1:9" ht="30" customHeight="1">
      <c r="A50" s="26">
        <v>42</v>
      </c>
      <c r="B50" s="27" t="s">
        <v>71</v>
      </c>
      <c r="C50" s="28" t="s">
        <v>72</v>
      </c>
      <c r="D50" s="29" t="s">
        <v>73</v>
      </c>
      <c r="E50" s="8" t="s">
        <v>14</v>
      </c>
      <c r="F50" s="30"/>
      <c r="G50" s="31"/>
      <c r="H50" s="119" t="s">
        <v>15</v>
      </c>
      <c r="I50" s="8" t="s">
        <v>14</v>
      </c>
    </row>
    <row r="51" spans="1:9" ht="30" customHeight="1">
      <c r="A51" s="26">
        <v>43</v>
      </c>
      <c r="B51" s="27" t="s">
        <v>71</v>
      </c>
      <c r="C51" s="28" t="s">
        <v>72</v>
      </c>
      <c r="D51" s="29" t="s">
        <v>74</v>
      </c>
      <c r="E51" s="8" t="s">
        <v>14</v>
      </c>
      <c r="F51" s="30"/>
      <c r="G51" s="31"/>
      <c r="H51" s="119" t="s">
        <v>15</v>
      </c>
      <c r="I51" s="8" t="s">
        <v>14</v>
      </c>
    </row>
    <row r="52" spans="1:9" ht="30" customHeight="1">
      <c r="A52" s="26">
        <v>44</v>
      </c>
      <c r="B52" s="27" t="s">
        <v>71</v>
      </c>
      <c r="C52" s="28" t="s">
        <v>75</v>
      </c>
      <c r="D52" s="29" t="s">
        <v>76</v>
      </c>
      <c r="E52" s="8" t="s">
        <v>14</v>
      </c>
      <c r="F52" s="30"/>
      <c r="G52" s="31"/>
      <c r="H52" s="119" t="s">
        <v>15</v>
      </c>
      <c r="I52" s="8" t="s">
        <v>14</v>
      </c>
    </row>
    <row r="53" spans="1:9" ht="30" customHeight="1">
      <c r="A53" s="26">
        <v>45</v>
      </c>
      <c r="B53" s="27" t="s">
        <v>71</v>
      </c>
      <c r="C53" s="28" t="s">
        <v>75</v>
      </c>
      <c r="D53" s="29" t="s">
        <v>77</v>
      </c>
      <c r="E53" s="8" t="s">
        <v>14</v>
      </c>
      <c r="F53" s="30"/>
      <c r="G53" s="31"/>
      <c r="H53" s="119" t="s">
        <v>15</v>
      </c>
      <c r="I53" s="8" t="s">
        <v>14</v>
      </c>
    </row>
    <row r="54" spans="1:9" ht="30" customHeight="1">
      <c r="A54" s="26">
        <v>46</v>
      </c>
      <c r="B54" s="27" t="s">
        <v>71</v>
      </c>
      <c r="C54" s="28" t="s">
        <v>75</v>
      </c>
      <c r="D54" s="29" t="s">
        <v>78</v>
      </c>
      <c r="E54" s="8" t="s">
        <v>14</v>
      </c>
      <c r="F54" s="30"/>
      <c r="G54" s="31"/>
      <c r="H54" s="119" t="s">
        <v>15</v>
      </c>
      <c r="I54" s="8" t="s">
        <v>14</v>
      </c>
    </row>
    <row r="55" spans="1:9" ht="30" customHeight="1">
      <c r="A55" s="26">
        <v>47</v>
      </c>
      <c r="B55" s="27" t="s">
        <v>71</v>
      </c>
      <c r="C55" s="28" t="s">
        <v>79</v>
      </c>
      <c r="D55" s="29" t="s">
        <v>80</v>
      </c>
      <c r="E55" s="8" t="s">
        <v>14</v>
      </c>
      <c r="F55" s="30"/>
      <c r="G55" s="31"/>
      <c r="H55" s="119" t="s">
        <v>15</v>
      </c>
      <c r="I55" s="8" t="s">
        <v>14</v>
      </c>
    </row>
    <row r="56" spans="1:9" ht="30" customHeight="1">
      <c r="A56" s="26">
        <v>48</v>
      </c>
      <c r="B56" s="27" t="s">
        <v>71</v>
      </c>
      <c r="C56" s="28" t="s">
        <v>79</v>
      </c>
      <c r="D56" s="29" t="s">
        <v>81</v>
      </c>
      <c r="E56" s="8" t="s">
        <v>14</v>
      </c>
      <c r="F56" s="30"/>
      <c r="G56" s="31"/>
      <c r="H56" s="119" t="s">
        <v>15</v>
      </c>
      <c r="I56" s="8" t="s">
        <v>14</v>
      </c>
    </row>
    <row r="57" spans="1:9" ht="30" customHeight="1">
      <c r="A57" s="26">
        <v>49</v>
      </c>
      <c r="B57" s="27" t="s">
        <v>71</v>
      </c>
      <c r="C57" s="28" t="s">
        <v>79</v>
      </c>
      <c r="D57" s="29" t="s">
        <v>82</v>
      </c>
      <c r="E57" s="8" t="s">
        <v>14</v>
      </c>
      <c r="F57" s="30"/>
      <c r="G57" s="31"/>
      <c r="H57" s="119" t="s">
        <v>15</v>
      </c>
      <c r="I57" s="8" t="s">
        <v>14</v>
      </c>
    </row>
    <row r="58" spans="1:9" ht="30" customHeight="1">
      <c r="A58" s="26">
        <v>50</v>
      </c>
      <c r="B58" s="27" t="s">
        <v>71</v>
      </c>
      <c r="C58" s="28" t="s">
        <v>79</v>
      </c>
      <c r="D58" s="29" t="s">
        <v>83</v>
      </c>
      <c r="E58" s="8" t="s">
        <v>14</v>
      </c>
      <c r="F58" s="30"/>
      <c r="G58" s="31"/>
      <c r="H58" s="119" t="s">
        <v>15</v>
      </c>
      <c r="I58" s="8" t="s">
        <v>14</v>
      </c>
    </row>
    <row r="59" spans="1:9" ht="20.100000000000001" customHeight="1">
      <c r="A59" s="127" t="s">
        <v>84</v>
      </c>
      <c r="B59" s="128"/>
      <c r="C59" s="128"/>
      <c r="D59" s="128"/>
      <c r="E59" s="128"/>
      <c r="F59" s="128"/>
      <c r="G59" s="128"/>
      <c r="H59" s="128"/>
      <c r="I59" s="129"/>
    </row>
    <row r="60" spans="1:9" ht="30" customHeight="1">
      <c r="A60" s="33">
        <v>51</v>
      </c>
      <c r="B60" s="34" t="s">
        <v>85</v>
      </c>
      <c r="C60" s="35" t="s">
        <v>86</v>
      </c>
      <c r="D60" s="36" t="s">
        <v>87</v>
      </c>
      <c r="E60" s="8" t="s">
        <v>14</v>
      </c>
      <c r="F60" s="37"/>
      <c r="G60" s="38"/>
      <c r="H60" s="119" t="s">
        <v>15</v>
      </c>
      <c r="I60" s="8" t="s">
        <v>14</v>
      </c>
    </row>
    <row r="61" spans="1:9" ht="30" customHeight="1">
      <c r="A61" s="33">
        <v>52</v>
      </c>
      <c r="B61" s="34" t="s">
        <v>85</v>
      </c>
      <c r="C61" s="35" t="s">
        <v>86</v>
      </c>
      <c r="D61" s="36" t="s">
        <v>88</v>
      </c>
      <c r="E61" s="8" t="s">
        <v>14</v>
      </c>
      <c r="F61" s="37"/>
      <c r="G61" s="38"/>
      <c r="H61" s="119" t="s">
        <v>15</v>
      </c>
      <c r="I61" s="8" t="s">
        <v>14</v>
      </c>
    </row>
    <row r="62" spans="1:9" ht="30" customHeight="1">
      <c r="A62" s="33">
        <v>53</v>
      </c>
      <c r="B62" s="34" t="s">
        <v>85</v>
      </c>
      <c r="C62" s="35" t="s">
        <v>86</v>
      </c>
      <c r="D62" s="36" t="s">
        <v>89</v>
      </c>
      <c r="E62" s="8" t="s">
        <v>14</v>
      </c>
      <c r="F62" s="37"/>
      <c r="G62" s="38"/>
      <c r="H62" s="119" t="s">
        <v>15</v>
      </c>
      <c r="I62" s="8" t="s">
        <v>14</v>
      </c>
    </row>
    <row r="63" spans="1:9" ht="30" customHeight="1">
      <c r="A63" s="33">
        <v>54</v>
      </c>
      <c r="B63" s="34" t="s">
        <v>85</v>
      </c>
      <c r="C63" s="35" t="s">
        <v>86</v>
      </c>
      <c r="D63" s="36" t="s">
        <v>90</v>
      </c>
      <c r="E63" s="8" t="s">
        <v>14</v>
      </c>
      <c r="F63" s="37"/>
      <c r="G63" s="38"/>
      <c r="H63" s="119" t="s">
        <v>15</v>
      </c>
      <c r="I63" s="8" t="s">
        <v>14</v>
      </c>
    </row>
    <row r="64" spans="1:9" ht="30" customHeight="1">
      <c r="A64" s="33">
        <v>55</v>
      </c>
      <c r="B64" s="34" t="s">
        <v>85</v>
      </c>
      <c r="C64" s="35" t="s">
        <v>91</v>
      </c>
      <c r="D64" s="36" t="s">
        <v>92</v>
      </c>
      <c r="E64" s="8" t="s">
        <v>14</v>
      </c>
      <c r="F64" s="37"/>
      <c r="G64" s="38"/>
      <c r="H64" s="119" t="s">
        <v>15</v>
      </c>
      <c r="I64" s="8" t="s">
        <v>14</v>
      </c>
    </row>
    <row r="65" spans="1:9" ht="30" customHeight="1">
      <c r="A65" s="33">
        <v>56</v>
      </c>
      <c r="B65" s="34" t="s">
        <v>85</v>
      </c>
      <c r="C65" s="35" t="s">
        <v>91</v>
      </c>
      <c r="D65" s="36" t="s">
        <v>93</v>
      </c>
      <c r="E65" s="8" t="s">
        <v>14</v>
      </c>
      <c r="F65" s="37"/>
      <c r="G65" s="38"/>
      <c r="H65" s="119" t="s">
        <v>15</v>
      </c>
      <c r="I65" s="8" t="s">
        <v>14</v>
      </c>
    </row>
    <row r="66" spans="1:9" ht="30" customHeight="1">
      <c r="A66" s="33">
        <v>57</v>
      </c>
      <c r="B66" s="34" t="s">
        <v>85</v>
      </c>
      <c r="C66" s="35" t="s">
        <v>91</v>
      </c>
      <c r="D66" s="36" t="s">
        <v>94</v>
      </c>
      <c r="E66" s="8" t="s">
        <v>14</v>
      </c>
      <c r="F66" s="37"/>
      <c r="G66" s="38"/>
      <c r="H66" s="119" t="s">
        <v>15</v>
      </c>
      <c r="I66" s="8" t="s">
        <v>14</v>
      </c>
    </row>
    <row r="67" spans="1:9" ht="30" customHeight="1">
      <c r="A67" s="33">
        <v>58</v>
      </c>
      <c r="B67" s="34" t="s">
        <v>85</v>
      </c>
      <c r="C67" s="35" t="s">
        <v>95</v>
      </c>
      <c r="D67" s="36" t="s">
        <v>96</v>
      </c>
      <c r="E67" s="8" t="s">
        <v>14</v>
      </c>
      <c r="F67" s="37"/>
      <c r="G67" s="38"/>
      <c r="H67" s="119" t="s">
        <v>15</v>
      </c>
      <c r="I67" s="8" t="s">
        <v>14</v>
      </c>
    </row>
    <row r="68" spans="1:9" ht="20.100000000000001" customHeight="1">
      <c r="A68" s="124" t="s">
        <v>97</v>
      </c>
      <c r="B68" s="125"/>
      <c r="C68" s="125"/>
      <c r="D68" s="125"/>
      <c r="E68" s="125"/>
      <c r="F68" s="125"/>
      <c r="G68" s="125"/>
      <c r="H68" s="125"/>
      <c r="I68" s="126"/>
    </row>
    <row r="69" spans="1:9" ht="30" customHeight="1">
      <c r="A69" s="40">
        <v>59</v>
      </c>
      <c r="B69" s="41" t="s">
        <v>98</v>
      </c>
      <c r="C69" s="42" t="s">
        <v>99</v>
      </c>
      <c r="D69" s="43" t="s">
        <v>100</v>
      </c>
      <c r="E69" s="8" t="s">
        <v>14</v>
      </c>
      <c r="F69" s="44"/>
      <c r="G69" s="45"/>
      <c r="H69" s="119" t="s">
        <v>15</v>
      </c>
      <c r="I69" s="8" t="s">
        <v>14</v>
      </c>
    </row>
    <row r="70" spans="1:9" ht="30" customHeight="1">
      <c r="A70" s="40">
        <v>60</v>
      </c>
      <c r="B70" s="41" t="s">
        <v>98</v>
      </c>
      <c r="C70" s="42" t="s">
        <v>99</v>
      </c>
      <c r="D70" s="43" t="s">
        <v>101</v>
      </c>
      <c r="E70" s="8" t="s">
        <v>14</v>
      </c>
      <c r="F70" s="44"/>
      <c r="G70" s="45"/>
      <c r="H70" s="119" t="s">
        <v>15</v>
      </c>
      <c r="I70" s="8" t="s">
        <v>14</v>
      </c>
    </row>
    <row r="71" spans="1:9" ht="30" customHeight="1">
      <c r="A71" s="40">
        <v>61</v>
      </c>
      <c r="B71" s="41" t="s">
        <v>98</v>
      </c>
      <c r="C71" s="42" t="s">
        <v>102</v>
      </c>
      <c r="D71" s="43" t="s">
        <v>103</v>
      </c>
      <c r="E71" s="8" t="s">
        <v>14</v>
      </c>
      <c r="F71" s="44"/>
      <c r="G71" s="45"/>
      <c r="H71" s="119" t="s">
        <v>15</v>
      </c>
      <c r="I71" s="8" t="s">
        <v>14</v>
      </c>
    </row>
    <row r="72" spans="1:9" ht="30" customHeight="1">
      <c r="A72" s="40">
        <v>62</v>
      </c>
      <c r="B72" s="41" t="s">
        <v>98</v>
      </c>
      <c r="C72" s="42" t="s">
        <v>102</v>
      </c>
      <c r="D72" s="43" t="s">
        <v>104</v>
      </c>
      <c r="E72" s="8" t="s">
        <v>14</v>
      </c>
      <c r="F72" s="44"/>
      <c r="G72" s="45"/>
      <c r="H72" s="119" t="s">
        <v>15</v>
      </c>
      <c r="I72" s="8" t="s">
        <v>14</v>
      </c>
    </row>
    <row r="73" spans="1:9" ht="30" customHeight="1">
      <c r="A73" s="40">
        <v>63</v>
      </c>
      <c r="B73" s="41" t="s">
        <v>98</v>
      </c>
      <c r="C73" s="42" t="s">
        <v>102</v>
      </c>
      <c r="D73" s="43" t="s">
        <v>105</v>
      </c>
      <c r="E73" s="8" t="s">
        <v>14</v>
      </c>
      <c r="F73" s="44"/>
      <c r="G73" s="45"/>
      <c r="H73" s="119" t="s">
        <v>15</v>
      </c>
      <c r="I73" s="8" t="s">
        <v>14</v>
      </c>
    </row>
    <row r="74" spans="1:9" ht="30" customHeight="1">
      <c r="A74" s="40">
        <v>64</v>
      </c>
      <c r="B74" s="41" t="s">
        <v>98</v>
      </c>
      <c r="C74" s="42" t="s">
        <v>106</v>
      </c>
      <c r="D74" s="43" t="s">
        <v>107</v>
      </c>
      <c r="E74" s="8" t="s">
        <v>14</v>
      </c>
      <c r="F74" s="44"/>
      <c r="G74" s="45"/>
      <c r="H74" s="119" t="s">
        <v>15</v>
      </c>
      <c r="I74" s="8" t="s">
        <v>14</v>
      </c>
    </row>
    <row r="75" spans="1:9" ht="30" customHeight="1">
      <c r="A75" s="40">
        <v>65</v>
      </c>
      <c r="B75" s="41" t="s">
        <v>98</v>
      </c>
      <c r="C75" s="42" t="s">
        <v>106</v>
      </c>
      <c r="D75" s="43" t="s">
        <v>108</v>
      </c>
      <c r="E75" s="8" t="s">
        <v>14</v>
      </c>
      <c r="F75" s="44"/>
      <c r="G75" s="45"/>
      <c r="H75" s="119" t="s">
        <v>15</v>
      </c>
      <c r="I75" s="8" t="s">
        <v>14</v>
      </c>
    </row>
    <row r="76" spans="1:9" ht="30" customHeight="1">
      <c r="A76" s="40">
        <v>66</v>
      </c>
      <c r="B76" s="41" t="s">
        <v>98</v>
      </c>
      <c r="C76" s="42" t="s">
        <v>95</v>
      </c>
      <c r="D76" s="43" t="s">
        <v>109</v>
      </c>
      <c r="E76" s="8" t="s">
        <v>14</v>
      </c>
      <c r="F76" s="44"/>
      <c r="G76" s="45"/>
      <c r="H76" s="119" t="s">
        <v>15</v>
      </c>
      <c r="I76" s="8" t="s">
        <v>14</v>
      </c>
    </row>
    <row r="77" spans="1:9" ht="20.100000000000001" customHeight="1">
      <c r="A77" s="130" t="s">
        <v>110</v>
      </c>
      <c r="B77" s="131"/>
      <c r="C77" s="131"/>
      <c r="D77" s="131"/>
      <c r="E77" s="131"/>
      <c r="F77" s="131"/>
      <c r="G77" s="131"/>
      <c r="H77" s="131"/>
      <c r="I77" s="132"/>
    </row>
    <row r="78" spans="1:9" ht="30" customHeight="1">
      <c r="A78" s="47">
        <v>67</v>
      </c>
      <c r="B78" s="48" t="s">
        <v>111</v>
      </c>
      <c r="C78" s="49" t="s">
        <v>99</v>
      </c>
      <c r="D78" s="50" t="s">
        <v>112</v>
      </c>
      <c r="E78" s="8" t="s">
        <v>14</v>
      </c>
      <c r="F78" s="51"/>
      <c r="G78" s="52"/>
      <c r="H78" s="119" t="s">
        <v>15</v>
      </c>
      <c r="I78" s="8" t="s">
        <v>14</v>
      </c>
    </row>
    <row r="79" spans="1:9" ht="30" customHeight="1">
      <c r="A79" s="47">
        <v>68</v>
      </c>
      <c r="B79" s="48" t="s">
        <v>111</v>
      </c>
      <c r="C79" s="49" t="s">
        <v>99</v>
      </c>
      <c r="D79" s="50" t="s">
        <v>113</v>
      </c>
      <c r="E79" s="8" t="s">
        <v>14</v>
      </c>
      <c r="F79" s="51"/>
      <c r="G79" s="52"/>
      <c r="H79" s="119" t="s">
        <v>15</v>
      </c>
      <c r="I79" s="8" t="s">
        <v>14</v>
      </c>
    </row>
    <row r="80" spans="1:9" ht="30" customHeight="1">
      <c r="A80" s="47">
        <v>69</v>
      </c>
      <c r="B80" s="48" t="s">
        <v>111</v>
      </c>
      <c r="C80" s="49" t="s">
        <v>114</v>
      </c>
      <c r="D80" s="50" t="s">
        <v>115</v>
      </c>
      <c r="E80" s="8" t="s">
        <v>14</v>
      </c>
      <c r="F80" s="51"/>
      <c r="G80" s="52"/>
      <c r="H80" s="119" t="s">
        <v>15</v>
      </c>
      <c r="I80" s="8" t="s">
        <v>14</v>
      </c>
    </row>
    <row r="81" spans="1:9" ht="30" customHeight="1">
      <c r="A81" s="47">
        <v>70</v>
      </c>
      <c r="B81" s="48" t="s">
        <v>111</v>
      </c>
      <c r="C81" s="49" t="s">
        <v>114</v>
      </c>
      <c r="D81" s="50" t="s">
        <v>116</v>
      </c>
      <c r="E81" s="8" t="s">
        <v>14</v>
      </c>
      <c r="F81" s="51"/>
      <c r="G81" s="52"/>
      <c r="H81" s="119" t="s">
        <v>15</v>
      </c>
      <c r="I81" s="8" t="s">
        <v>14</v>
      </c>
    </row>
    <row r="82" spans="1:9" ht="30" customHeight="1">
      <c r="A82" s="47">
        <v>71</v>
      </c>
      <c r="B82" s="48" t="s">
        <v>111</v>
      </c>
      <c r="C82" s="49" t="s">
        <v>114</v>
      </c>
      <c r="D82" s="50" t="s">
        <v>117</v>
      </c>
      <c r="E82" s="8" t="s">
        <v>14</v>
      </c>
      <c r="F82" s="51"/>
      <c r="G82" s="52"/>
      <c r="H82" s="119" t="s">
        <v>15</v>
      </c>
      <c r="I82" s="8" t="s">
        <v>14</v>
      </c>
    </row>
    <row r="83" spans="1:9" ht="30" customHeight="1">
      <c r="A83" s="47">
        <v>72</v>
      </c>
      <c r="B83" s="48" t="s">
        <v>111</v>
      </c>
      <c r="C83" s="49" t="s">
        <v>118</v>
      </c>
      <c r="D83" s="50" t="s">
        <v>119</v>
      </c>
      <c r="E83" s="8" t="s">
        <v>14</v>
      </c>
      <c r="F83" s="51"/>
      <c r="G83" s="52"/>
      <c r="H83" s="119" t="s">
        <v>15</v>
      </c>
      <c r="I83" s="8" t="s">
        <v>14</v>
      </c>
    </row>
    <row r="84" spans="1:9" ht="30" customHeight="1">
      <c r="A84" s="47">
        <v>73</v>
      </c>
      <c r="B84" s="48" t="s">
        <v>111</v>
      </c>
      <c r="C84" s="49" t="s">
        <v>118</v>
      </c>
      <c r="D84" s="50" t="s">
        <v>120</v>
      </c>
      <c r="E84" s="8" t="s">
        <v>14</v>
      </c>
      <c r="F84" s="51"/>
      <c r="G84" s="52"/>
      <c r="H84" s="119" t="s">
        <v>15</v>
      </c>
      <c r="I84" s="8" t="s">
        <v>14</v>
      </c>
    </row>
    <row r="85" spans="1:9" ht="30" customHeight="1">
      <c r="A85" s="47">
        <v>74</v>
      </c>
      <c r="B85" s="48" t="s">
        <v>111</v>
      </c>
      <c r="C85" s="49" t="s">
        <v>95</v>
      </c>
      <c r="D85" s="50" t="s">
        <v>121</v>
      </c>
      <c r="E85" s="8" t="s">
        <v>14</v>
      </c>
      <c r="F85" s="51"/>
      <c r="G85" s="52"/>
      <c r="H85" s="119" t="s">
        <v>15</v>
      </c>
      <c r="I85" s="8" t="s">
        <v>14</v>
      </c>
    </row>
    <row r="86" spans="1:9" ht="30" customHeight="1">
      <c r="A86" s="47">
        <v>75</v>
      </c>
      <c r="B86" s="48" t="s">
        <v>111</v>
      </c>
      <c r="C86" s="49" t="s">
        <v>95</v>
      </c>
      <c r="D86" s="50" t="s">
        <v>122</v>
      </c>
      <c r="E86" s="8" t="s">
        <v>14</v>
      </c>
      <c r="F86" s="51"/>
      <c r="G86" s="52"/>
      <c r="H86" s="119" t="s">
        <v>15</v>
      </c>
      <c r="I86" s="8" t="s">
        <v>14</v>
      </c>
    </row>
    <row r="87" spans="1:9" ht="20.100000000000001" customHeight="1">
      <c r="A87" s="133" t="s">
        <v>123</v>
      </c>
      <c r="B87" s="134"/>
      <c r="C87" s="134"/>
      <c r="D87" s="134"/>
      <c r="E87" s="134"/>
      <c r="F87" s="134"/>
      <c r="G87" s="134"/>
      <c r="H87" s="134"/>
      <c r="I87" s="135"/>
    </row>
    <row r="88" spans="1:9" ht="30" customHeight="1">
      <c r="A88" s="54">
        <v>76</v>
      </c>
      <c r="B88" s="55" t="s">
        <v>124</v>
      </c>
      <c r="C88" s="56" t="s">
        <v>125</v>
      </c>
      <c r="D88" s="57" t="s">
        <v>126</v>
      </c>
      <c r="E88" s="8" t="s">
        <v>14</v>
      </c>
      <c r="F88" s="58"/>
      <c r="G88" s="59"/>
      <c r="H88" s="119" t="s">
        <v>15</v>
      </c>
      <c r="I88" s="8" t="s">
        <v>14</v>
      </c>
    </row>
    <row r="89" spans="1:9" ht="30" customHeight="1">
      <c r="A89" s="54">
        <v>77</v>
      </c>
      <c r="B89" s="55" t="s">
        <v>124</v>
      </c>
      <c r="C89" s="56" t="s">
        <v>125</v>
      </c>
      <c r="D89" s="57" t="s">
        <v>127</v>
      </c>
      <c r="E89" s="8" t="s">
        <v>14</v>
      </c>
      <c r="F89" s="58"/>
      <c r="G89" s="59"/>
      <c r="H89" s="119" t="s">
        <v>15</v>
      </c>
      <c r="I89" s="8" t="s">
        <v>14</v>
      </c>
    </row>
    <row r="90" spans="1:9" ht="30" customHeight="1">
      <c r="A90" s="54">
        <v>78</v>
      </c>
      <c r="B90" s="55" t="s">
        <v>124</v>
      </c>
      <c r="C90" s="56" t="s">
        <v>125</v>
      </c>
      <c r="D90" s="57" t="s">
        <v>128</v>
      </c>
      <c r="E90" s="8" t="s">
        <v>14</v>
      </c>
      <c r="F90" s="58"/>
      <c r="G90" s="59"/>
      <c r="H90" s="119" t="s">
        <v>15</v>
      </c>
      <c r="I90" s="8" t="s">
        <v>14</v>
      </c>
    </row>
    <row r="91" spans="1:9" ht="30" customHeight="1">
      <c r="A91" s="54">
        <v>79</v>
      </c>
      <c r="B91" s="55" t="s">
        <v>124</v>
      </c>
      <c r="C91" s="56" t="s">
        <v>125</v>
      </c>
      <c r="D91" s="57" t="s">
        <v>129</v>
      </c>
      <c r="E91" s="8" t="s">
        <v>14</v>
      </c>
      <c r="F91" s="58"/>
      <c r="G91" s="59"/>
      <c r="H91" s="119" t="s">
        <v>15</v>
      </c>
      <c r="I91" s="8" t="s">
        <v>14</v>
      </c>
    </row>
    <row r="92" spans="1:9" ht="30" customHeight="1">
      <c r="A92" s="54">
        <v>80</v>
      </c>
      <c r="B92" s="55" t="s">
        <v>124</v>
      </c>
      <c r="C92" s="56" t="s">
        <v>130</v>
      </c>
      <c r="D92" s="57" t="s">
        <v>131</v>
      </c>
      <c r="E92" s="8" t="s">
        <v>14</v>
      </c>
      <c r="F92" s="58"/>
      <c r="G92" s="59"/>
      <c r="H92" s="119" t="s">
        <v>15</v>
      </c>
      <c r="I92" s="8" t="s">
        <v>14</v>
      </c>
    </row>
    <row r="93" spans="1:9" ht="30" customHeight="1">
      <c r="A93" s="54">
        <v>81</v>
      </c>
      <c r="B93" s="55" t="s">
        <v>124</v>
      </c>
      <c r="C93" s="56" t="s">
        <v>130</v>
      </c>
      <c r="D93" s="57" t="s">
        <v>132</v>
      </c>
      <c r="E93" s="8" t="s">
        <v>14</v>
      </c>
      <c r="F93" s="58"/>
      <c r="G93" s="59"/>
      <c r="H93" s="119" t="s">
        <v>15</v>
      </c>
      <c r="I93" s="8" t="s">
        <v>14</v>
      </c>
    </row>
    <row r="94" spans="1:9" ht="30" customHeight="1">
      <c r="A94" s="54">
        <v>82</v>
      </c>
      <c r="B94" s="55" t="s">
        <v>124</v>
      </c>
      <c r="C94" s="56" t="s">
        <v>133</v>
      </c>
      <c r="D94" s="57" t="s">
        <v>134</v>
      </c>
      <c r="E94" s="8" t="s">
        <v>14</v>
      </c>
      <c r="F94" s="58"/>
      <c r="G94" s="59"/>
      <c r="H94" s="119" t="s">
        <v>15</v>
      </c>
      <c r="I94" s="8" t="s">
        <v>14</v>
      </c>
    </row>
    <row r="95" spans="1:9" ht="30" customHeight="1">
      <c r="A95" s="54">
        <v>83</v>
      </c>
      <c r="B95" s="55" t="s">
        <v>124</v>
      </c>
      <c r="C95" s="56" t="s">
        <v>133</v>
      </c>
      <c r="D95" s="57" t="s">
        <v>135</v>
      </c>
      <c r="E95" s="8" t="s">
        <v>14</v>
      </c>
      <c r="F95" s="58"/>
      <c r="G95" s="59"/>
      <c r="H95" s="119" t="s">
        <v>15</v>
      </c>
      <c r="I95" s="8" t="s">
        <v>14</v>
      </c>
    </row>
    <row r="96" spans="1:9" ht="30" customHeight="1">
      <c r="A96" s="54">
        <v>84</v>
      </c>
      <c r="B96" s="55" t="s">
        <v>124</v>
      </c>
      <c r="C96" s="56" t="s">
        <v>133</v>
      </c>
      <c r="D96" s="57" t="s">
        <v>136</v>
      </c>
      <c r="E96" s="8" t="s">
        <v>14</v>
      </c>
      <c r="F96" s="58"/>
      <c r="G96" s="59"/>
      <c r="H96" s="119" t="s">
        <v>15</v>
      </c>
      <c r="I96" s="8" t="s">
        <v>14</v>
      </c>
    </row>
    <row r="97" spans="1:9" ht="20.100000000000001" customHeight="1">
      <c r="A97" s="136" t="s">
        <v>137</v>
      </c>
      <c r="B97" s="137"/>
      <c r="C97" s="137"/>
      <c r="D97" s="137"/>
      <c r="E97" s="137"/>
      <c r="F97" s="137"/>
      <c r="G97" s="137"/>
      <c r="H97" s="137"/>
      <c r="I97" s="138"/>
    </row>
    <row r="98" spans="1:9" ht="30" customHeight="1">
      <c r="A98" s="61">
        <v>85</v>
      </c>
      <c r="B98" s="62" t="s">
        <v>138</v>
      </c>
      <c r="C98" s="63" t="s">
        <v>139</v>
      </c>
      <c r="D98" s="64" t="s">
        <v>140</v>
      </c>
      <c r="E98" s="8" t="s">
        <v>14</v>
      </c>
      <c r="F98" s="65"/>
      <c r="G98" s="66"/>
      <c r="H98" s="119" t="s">
        <v>15</v>
      </c>
      <c r="I98" s="8" t="s">
        <v>14</v>
      </c>
    </row>
    <row r="99" spans="1:9" ht="30" customHeight="1">
      <c r="A99" s="61">
        <v>86</v>
      </c>
      <c r="B99" s="62" t="s">
        <v>138</v>
      </c>
      <c r="C99" s="63" t="s">
        <v>139</v>
      </c>
      <c r="D99" s="64" t="s">
        <v>141</v>
      </c>
      <c r="E99" s="8" t="s">
        <v>14</v>
      </c>
      <c r="F99" s="65"/>
      <c r="G99" s="66"/>
      <c r="H99" s="119" t="s">
        <v>15</v>
      </c>
      <c r="I99" s="8" t="s">
        <v>14</v>
      </c>
    </row>
    <row r="100" spans="1:9" ht="30" customHeight="1">
      <c r="A100" s="61">
        <v>87</v>
      </c>
      <c r="B100" s="62" t="s">
        <v>138</v>
      </c>
      <c r="C100" s="63" t="s">
        <v>139</v>
      </c>
      <c r="D100" s="64" t="s">
        <v>142</v>
      </c>
      <c r="E100" s="8" t="s">
        <v>14</v>
      </c>
      <c r="F100" s="65"/>
      <c r="G100" s="66"/>
      <c r="H100" s="119" t="s">
        <v>15</v>
      </c>
      <c r="I100" s="8" t="s">
        <v>14</v>
      </c>
    </row>
    <row r="101" spans="1:9" ht="30" customHeight="1">
      <c r="A101" s="61">
        <v>88</v>
      </c>
      <c r="B101" s="62" t="s">
        <v>138</v>
      </c>
      <c r="C101" s="63" t="s">
        <v>143</v>
      </c>
      <c r="D101" s="64" t="s">
        <v>144</v>
      </c>
      <c r="E101" s="8" t="s">
        <v>14</v>
      </c>
      <c r="F101" s="65"/>
      <c r="G101" s="66"/>
      <c r="H101" s="119" t="s">
        <v>15</v>
      </c>
      <c r="I101" s="8" t="s">
        <v>14</v>
      </c>
    </row>
    <row r="102" spans="1:9" ht="30" customHeight="1">
      <c r="A102" s="61">
        <v>89</v>
      </c>
      <c r="B102" s="62" t="s">
        <v>138</v>
      </c>
      <c r="C102" s="63" t="s">
        <v>143</v>
      </c>
      <c r="D102" s="64" t="s">
        <v>145</v>
      </c>
      <c r="E102" s="8" t="s">
        <v>14</v>
      </c>
      <c r="F102" s="65"/>
      <c r="G102" s="66"/>
      <c r="H102" s="119" t="s">
        <v>15</v>
      </c>
      <c r="I102" s="8" t="s">
        <v>14</v>
      </c>
    </row>
    <row r="103" spans="1:9" ht="30" customHeight="1">
      <c r="A103" s="61">
        <v>90</v>
      </c>
      <c r="B103" s="62" t="s">
        <v>138</v>
      </c>
      <c r="C103" s="63" t="s">
        <v>146</v>
      </c>
      <c r="D103" s="64" t="s">
        <v>147</v>
      </c>
      <c r="E103" s="8" t="s">
        <v>14</v>
      </c>
      <c r="F103" s="65"/>
      <c r="G103" s="66"/>
      <c r="H103" s="119" t="s">
        <v>15</v>
      </c>
      <c r="I103" s="8" t="s">
        <v>14</v>
      </c>
    </row>
    <row r="104" spans="1:9" ht="30" customHeight="1">
      <c r="A104" s="61">
        <v>91</v>
      </c>
      <c r="B104" s="62" t="s">
        <v>138</v>
      </c>
      <c r="C104" s="63" t="s">
        <v>146</v>
      </c>
      <c r="D104" s="64" t="s">
        <v>148</v>
      </c>
      <c r="E104" s="8" t="s">
        <v>14</v>
      </c>
      <c r="F104" s="65"/>
      <c r="G104" s="66"/>
      <c r="H104" s="119" t="s">
        <v>15</v>
      </c>
      <c r="I104" s="8" t="s">
        <v>14</v>
      </c>
    </row>
    <row r="105" spans="1:9" ht="20.100000000000001" customHeight="1">
      <c r="A105" s="121" t="s">
        <v>149</v>
      </c>
      <c r="B105" s="122"/>
      <c r="C105" s="122"/>
      <c r="D105" s="122"/>
      <c r="E105" s="122"/>
      <c r="F105" s="122"/>
      <c r="G105" s="122"/>
      <c r="H105" s="122"/>
      <c r="I105" s="123"/>
    </row>
    <row r="106" spans="1:9" ht="30" customHeight="1">
      <c r="A106" s="68">
        <v>92</v>
      </c>
      <c r="B106" s="69" t="s">
        <v>150</v>
      </c>
      <c r="C106" s="70" t="s">
        <v>151</v>
      </c>
      <c r="D106" s="71" t="s">
        <v>152</v>
      </c>
      <c r="E106" s="8" t="s">
        <v>14</v>
      </c>
      <c r="F106" s="72"/>
      <c r="G106" s="73"/>
      <c r="H106" s="119" t="s">
        <v>15</v>
      </c>
      <c r="I106" s="8" t="s">
        <v>14</v>
      </c>
    </row>
    <row r="107" spans="1:9" ht="30" customHeight="1">
      <c r="A107" s="68">
        <v>93</v>
      </c>
      <c r="B107" s="69" t="s">
        <v>150</v>
      </c>
      <c r="C107" s="70" t="s">
        <v>151</v>
      </c>
      <c r="D107" s="71" t="s">
        <v>153</v>
      </c>
      <c r="E107" s="8" t="s">
        <v>14</v>
      </c>
      <c r="F107" s="72"/>
      <c r="G107" s="73"/>
      <c r="H107" s="119" t="s">
        <v>15</v>
      </c>
      <c r="I107" s="8" t="s">
        <v>14</v>
      </c>
    </row>
    <row r="108" spans="1:9" ht="30" customHeight="1">
      <c r="A108" s="68">
        <v>94</v>
      </c>
      <c r="B108" s="69" t="s">
        <v>150</v>
      </c>
      <c r="C108" s="70" t="s">
        <v>154</v>
      </c>
      <c r="D108" s="71" t="s">
        <v>155</v>
      </c>
      <c r="E108" s="8" t="s">
        <v>14</v>
      </c>
      <c r="F108" s="72"/>
      <c r="G108" s="73"/>
      <c r="H108" s="119" t="s">
        <v>15</v>
      </c>
      <c r="I108" s="8" t="s">
        <v>14</v>
      </c>
    </row>
    <row r="109" spans="1:9" ht="30" customHeight="1">
      <c r="A109" s="68">
        <v>95</v>
      </c>
      <c r="B109" s="69" t="s">
        <v>150</v>
      </c>
      <c r="C109" s="70" t="s">
        <v>154</v>
      </c>
      <c r="D109" s="71" t="s">
        <v>156</v>
      </c>
      <c r="E109" s="8" t="s">
        <v>14</v>
      </c>
      <c r="F109" s="72"/>
      <c r="G109" s="73"/>
      <c r="H109" s="119" t="s">
        <v>15</v>
      </c>
      <c r="I109" s="8" t="s">
        <v>14</v>
      </c>
    </row>
    <row r="110" spans="1:9" ht="30" customHeight="1">
      <c r="A110" s="68">
        <v>96</v>
      </c>
      <c r="B110" s="69" t="s">
        <v>150</v>
      </c>
      <c r="C110" s="70" t="s">
        <v>154</v>
      </c>
      <c r="D110" s="71" t="s">
        <v>157</v>
      </c>
      <c r="E110" s="8" t="s">
        <v>14</v>
      </c>
      <c r="F110" s="72"/>
      <c r="G110" s="73"/>
      <c r="H110" s="119" t="s">
        <v>15</v>
      </c>
      <c r="I110" s="8" t="s">
        <v>14</v>
      </c>
    </row>
    <row r="111" spans="1:9" ht="20.100000000000001" customHeight="1">
      <c r="A111" s="124" t="s">
        <v>158</v>
      </c>
      <c r="B111" s="125"/>
      <c r="C111" s="125"/>
      <c r="D111" s="125"/>
      <c r="E111" s="125"/>
      <c r="F111" s="125"/>
      <c r="G111" s="125"/>
      <c r="H111" s="125"/>
      <c r="I111" s="126"/>
    </row>
    <row r="112" spans="1:9" ht="30" customHeight="1">
      <c r="A112" s="40">
        <v>97</v>
      </c>
      <c r="B112" s="41" t="s">
        <v>159</v>
      </c>
      <c r="C112" s="42" t="s">
        <v>160</v>
      </c>
      <c r="D112" s="43" t="s">
        <v>161</v>
      </c>
      <c r="E112" s="8" t="s">
        <v>14</v>
      </c>
      <c r="F112" s="44"/>
      <c r="G112" s="45"/>
      <c r="H112" s="119" t="s">
        <v>15</v>
      </c>
      <c r="I112" s="8" t="s">
        <v>14</v>
      </c>
    </row>
    <row r="113" spans="1:9" ht="30" customHeight="1">
      <c r="A113" s="40">
        <v>98</v>
      </c>
      <c r="B113" s="41" t="s">
        <v>159</v>
      </c>
      <c r="C113" s="42" t="s">
        <v>160</v>
      </c>
      <c r="D113" s="43" t="s">
        <v>162</v>
      </c>
      <c r="E113" s="8" t="s">
        <v>14</v>
      </c>
      <c r="F113" s="44"/>
      <c r="G113" s="45"/>
      <c r="H113" s="119" t="s">
        <v>15</v>
      </c>
      <c r="I113" s="8" t="s">
        <v>14</v>
      </c>
    </row>
    <row r="114" spans="1:9" ht="30" customHeight="1">
      <c r="A114" s="40">
        <v>99</v>
      </c>
      <c r="B114" s="41" t="s">
        <v>159</v>
      </c>
      <c r="C114" s="42" t="s">
        <v>160</v>
      </c>
      <c r="D114" s="43" t="s">
        <v>163</v>
      </c>
      <c r="E114" s="8" t="s">
        <v>14</v>
      </c>
      <c r="F114" s="44"/>
      <c r="G114" s="45"/>
      <c r="H114" s="119" t="s">
        <v>15</v>
      </c>
      <c r="I114" s="8" t="s">
        <v>14</v>
      </c>
    </row>
    <row r="115" spans="1:9" ht="30" customHeight="1">
      <c r="A115" s="40">
        <v>100</v>
      </c>
      <c r="B115" s="41" t="s">
        <v>159</v>
      </c>
      <c r="C115" s="42" t="s">
        <v>160</v>
      </c>
      <c r="D115" s="43" t="s">
        <v>164</v>
      </c>
      <c r="E115" s="8" t="s">
        <v>14</v>
      </c>
      <c r="F115" s="44"/>
      <c r="G115" s="45"/>
      <c r="H115" s="119" t="s">
        <v>15</v>
      </c>
      <c r="I115" s="8" t="s">
        <v>14</v>
      </c>
    </row>
    <row r="116" spans="1:9" ht="30" customHeight="1">
      <c r="A116" s="40">
        <v>101</v>
      </c>
      <c r="B116" s="41" t="s">
        <v>159</v>
      </c>
      <c r="C116" s="42" t="s">
        <v>165</v>
      </c>
      <c r="D116" s="43" t="s">
        <v>166</v>
      </c>
      <c r="E116" s="8" t="s">
        <v>14</v>
      </c>
      <c r="F116" s="44"/>
      <c r="G116" s="45"/>
      <c r="H116" s="119" t="s">
        <v>15</v>
      </c>
      <c r="I116" s="8" t="s">
        <v>14</v>
      </c>
    </row>
    <row r="117" spans="1:9" ht="30" customHeight="1">
      <c r="A117" s="40">
        <v>102</v>
      </c>
      <c r="B117" s="41" t="s">
        <v>159</v>
      </c>
      <c r="C117" s="42" t="s">
        <v>165</v>
      </c>
      <c r="D117" s="43" t="s">
        <v>167</v>
      </c>
      <c r="E117" s="8" t="s">
        <v>14</v>
      </c>
      <c r="F117" s="44"/>
      <c r="G117" s="45"/>
      <c r="H117" s="119" t="s">
        <v>15</v>
      </c>
      <c r="I117" s="8" t="s">
        <v>14</v>
      </c>
    </row>
    <row r="118" spans="1:9" ht="15">
      <c r="H118" s="117"/>
    </row>
    <row r="119" spans="1:9" ht="15"/>
    <row r="120" spans="1:9" ht="15"/>
    <row r="121" spans="1:9" ht="15"/>
    <row r="122" spans="1:9" ht="15"/>
    <row r="123" spans="1:9" ht="15"/>
    <row r="124" spans="1:9" ht="15"/>
    <row r="125" spans="1:9" ht="15"/>
    <row r="126" spans="1:9" ht="15"/>
    <row r="127" spans="1:9" ht="15"/>
    <row r="128" spans="1:9" ht="15"/>
    <row r="129" ht="15"/>
    <row r="130" ht="15"/>
    <row r="131" ht="15"/>
    <row r="132" ht="15"/>
    <row r="133" ht="15"/>
    <row r="134" ht="15"/>
  </sheetData>
  <mergeCells count="13">
    <mergeCell ref="A49:I49"/>
    <mergeCell ref="A1:G1"/>
    <mergeCell ref="A2:G2"/>
    <mergeCell ref="A5:G5"/>
    <mergeCell ref="A20:I20"/>
    <mergeCell ref="A32:I32"/>
    <mergeCell ref="A105:I105"/>
    <mergeCell ref="A111:I111"/>
    <mergeCell ref="A59:I59"/>
    <mergeCell ref="A68:I68"/>
    <mergeCell ref="A77:I77"/>
    <mergeCell ref="A87:I87"/>
    <mergeCell ref="A97:I97"/>
  </mergeCells>
  <dataValidations count="1">
    <dataValidation type="list" allowBlank="1" sqref="E112:E117 I5:I19 E5:E19 E21:E31 I21:I31 I33:I48 E33:E48 I50:I58 E50:E58 I60:I67 E60:E67 E69:E76 I69:I76 I78:I86 E78:E86 E88:E96 I88:I96 I98:I104 E98:E104 I106:I110 E106:E110 I112:I117" xr:uid="{00000000-0002-0000-0000-000000000000}">
      <formula1>"Pending,In Progress,Complete,N/A"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6"/>
  <sheetViews>
    <sheetView tabSelected="1" workbookViewId="0">
      <pane ySplit="4" topLeftCell="A5" activePane="bottomLeft" state="frozen"/>
      <selection pane="bottomLeft" activeCell="I17" sqref="I17"/>
    </sheetView>
  </sheetViews>
  <sheetFormatPr defaultRowHeight="14.45"/>
  <cols>
    <col min="1" max="1" width="36" customWidth="1"/>
    <col min="2" max="2" width="14" customWidth="1"/>
    <col min="3" max="4" width="12" customWidth="1"/>
    <col min="5" max="5" width="16" customWidth="1"/>
    <col min="6" max="6" width="14" customWidth="1"/>
    <col min="7" max="9" width="12.5703125" customWidth="1"/>
  </cols>
  <sheetData>
    <row r="1" spans="1:9" ht="32.1" customHeight="1">
      <c r="A1" s="120" t="s">
        <v>168</v>
      </c>
      <c r="B1" s="153"/>
      <c r="C1" s="153"/>
      <c r="D1" s="153"/>
      <c r="E1" s="153"/>
      <c r="F1" s="153"/>
    </row>
    <row r="2" spans="1:9" ht="19.5" customHeight="1"/>
    <row r="3" spans="1:9" ht="19.5" customHeight="1">
      <c r="G3" s="151" t="s">
        <v>169</v>
      </c>
      <c r="H3" s="152"/>
      <c r="I3" s="152"/>
    </row>
    <row r="4" spans="1:9" ht="20.100000000000001" customHeight="1">
      <c r="A4" s="1" t="s">
        <v>170</v>
      </c>
      <c r="B4" s="1" t="s">
        <v>171</v>
      </c>
      <c r="C4" s="1" t="s">
        <v>172</v>
      </c>
      <c r="D4" s="1" t="s">
        <v>173</v>
      </c>
      <c r="E4" s="1" t="s">
        <v>174</v>
      </c>
      <c r="F4" s="1" t="s">
        <v>175</v>
      </c>
      <c r="G4" s="1" t="s">
        <v>173</v>
      </c>
      <c r="H4" s="1" t="s">
        <v>174</v>
      </c>
      <c r="I4" s="1" t="s">
        <v>175</v>
      </c>
    </row>
    <row r="5" spans="1:9" ht="21.95" customHeight="1">
      <c r="A5" s="3" t="s">
        <v>11</v>
      </c>
      <c r="B5" s="74">
        <v>4</v>
      </c>
      <c r="C5" s="74">
        <v>14</v>
      </c>
      <c r="D5" s="75">
        <f>COUNTIF('Monthly Checklist'!E6:E19,"Complete")</f>
        <v>0</v>
      </c>
      <c r="E5" s="76">
        <f>14-D5</f>
        <v>14</v>
      </c>
      <c r="F5" s="77">
        <f t="shared" ref="F5:F16" si="0">IFERROR(D5/C5,0)</f>
        <v>0</v>
      </c>
      <c r="G5" s="75">
        <f>COUNTIF('Monthly Checklist'!I6:I19,"Complete")</f>
        <v>0</v>
      </c>
      <c r="H5" s="76">
        <f>14-G5</f>
        <v>14</v>
      </c>
      <c r="I5" s="77">
        <f>IFERROR(G5/C5,0)</f>
        <v>0</v>
      </c>
    </row>
    <row r="6" spans="1:9" ht="21.95" customHeight="1">
      <c r="A6" s="11" t="s">
        <v>33</v>
      </c>
      <c r="B6" s="78">
        <v>3</v>
      </c>
      <c r="C6" s="78">
        <v>11</v>
      </c>
      <c r="D6" s="79">
        <f>COUNTIF('Monthly Checklist'!E21:E31,"Complete")</f>
        <v>0</v>
      </c>
      <c r="E6" s="80">
        <f>11-D6</f>
        <v>11</v>
      </c>
      <c r="F6" s="81">
        <f t="shared" si="0"/>
        <v>0</v>
      </c>
      <c r="G6" s="79">
        <f>COUNTIF('Monthly Checklist'!I21:I31,"Complete")</f>
        <v>0</v>
      </c>
      <c r="H6" s="80">
        <f>11-G6</f>
        <v>11</v>
      </c>
      <c r="I6" s="77">
        <f t="shared" ref="I6:I15" si="1">IFERROR(G6/C6,0)</f>
        <v>0</v>
      </c>
    </row>
    <row r="7" spans="1:9" ht="21.95" customHeight="1">
      <c r="A7" s="18" t="s">
        <v>49</v>
      </c>
      <c r="B7" s="82">
        <v>4</v>
      </c>
      <c r="C7" s="82">
        <v>16</v>
      </c>
      <c r="D7" s="83">
        <f>COUNTIF('Monthly Checklist'!E33:E48,"Complete")</f>
        <v>0</v>
      </c>
      <c r="E7" s="84">
        <f>16-D7</f>
        <v>16</v>
      </c>
      <c r="F7" s="85">
        <f t="shared" si="0"/>
        <v>0</v>
      </c>
      <c r="G7" s="83">
        <f>COUNTIF('Monthly Checklist'!I33:I48,"Complete")</f>
        <v>0</v>
      </c>
      <c r="H7" s="84">
        <f>16-G7</f>
        <v>16</v>
      </c>
      <c r="I7" s="77">
        <f t="shared" si="1"/>
        <v>0</v>
      </c>
    </row>
    <row r="8" spans="1:9" ht="21.95" customHeight="1">
      <c r="A8" s="25" t="s">
        <v>71</v>
      </c>
      <c r="B8" s="86">
        <v>3</v>
      </c>
      <c r="C8" s="86">
        <v>9</v>
      </c>
      <c r="D8" s="87">
        <f>COUNTIF('Monthly Checklist'!E50:E58,"Complete")</f>
        <v>0</v>
      </c>
      <c r="E8" s="88">
        <f>9-D8</f>
        <v>9</v>
      </c>
      <c r="F8" s="89">
        <f t="shared" si="0"/>
        <v>0</v>
      </c>
      <c r="G8" s="87">
        <f>COUNTIF('Monthly Checklist'!I50:I58,"Complete")</f>
        <v>0</v>
      </c>
      <c r="H8" s="88">
        <f>9-G8</f>
        <v>9</v>
      </c>
      <c r="I8" s="77">
        <f t="shared" si="1"/>
        <v>0</v>
      </c>
    </row>
    <row r="9" spans="1:9" ht="21.95" customHeight="1">
      <c r="A9" s="32" t="s">
        <v>85</v>
      </c>
      <c r="B9" s="90">
        <v>3</v>
      </c>
      <c r="C9" s="90">
        <v>8</v>
      </c>
      <c r="D9" s="91">
        <f>COUNTIF('Monthly Checklist'!E60:E67,"Complete")</f>
        <v>0</v>
      </c>
      <c r="E9" s="92">
        <f>8-D9</f>
        <v>8</v>
      </c>
      <c r="F9" s="93">
        <f t="shared" si="0"/>
        <v>0</v>
      </c>
      <c r="G9" s="91">
        <f>COUNTIF('Monthly Checklist'!I60:I67,"Complete")</f>
        <v>0</v>
      </c>
      <c r="H9" s="92">
        <f>8-G9</f>
        <v>8</v>
      </c>
      <c r="I9" s="77">
        <f t="shared" si="1"/>
        <v>0</v>
      </c>
    </row>
    <row r="10" spans="1:9" ht="21.95" customHeight="1">
      <c r="A10" s="39" t="s">
        <v>98</v>
      </c>
      <c r="B10" s="94">
        <v>4</v>
      </c>
      <c r="C10" s="94">
        <v>8</v>
      </c>
      <c r="D10" s="95">
        <f>COUNTIF('Monthly Checklist'!E69:E76,"Complete")</f>
        <v>0</v>
      </c>
      <c r="E10" s="96">
        <f>8-D10</f>
        <v>8</v>
      </c>
      <c r="F10" s="97">
        <f t="shared" si="0"/>
        <v>0</v>
      </c>
      <c r="G10" s="95">
        <f>COUNTIF('Monthly Checklist'!I69:I76,"Complete")</f>
        <v>0</v>
      </c>
      <c r="H10" s="96">
        <f>8-G10</f>
        <v>8</v>
      </c>
      <c r="I10" s="77">
        <f t="shared" si="1"/>
        <v>0</v>
      </c>
    </row>
    <row r="11" spans="1:9" ht="21.95" customHeight="1">
      <c r="A11" s="46" t="s">
        <v>111</v>
      </c>
      <c r="B11" s="98">
        <v>4</v>
      </c>
      <c r="C11" s="98">
        <v>9</v>
      </c>
      <c r="D11" s="99">
        <f>COUNTIF('Monthly Checklist'!E78:E86,"Complete")</f>
        <v>0</v>
      </c>
      <c r="E11" s="100">
        <f>9-D11</f>
        <v>9</v>
      </c>
      <c r="F11" s="101">
        <f t="shared" si="0"/>
        <v>0</v>
      </c>
      <c r="G11" s="99">
        <f>COUNTIF('Monthly Checklist'!I78:I86,"Complete")</f>
        <v>0</v>
      </c>
      <c r="H11" s="100">
        <f>9-G11</f>
        <v>9</v>
      </c>
      <c r="I11" s="77">
        <f t="shared" si="1"/>
        <v>0</v>
      </c>
    </row>
    <row r="12" spans="1:9" ht="21.95" customHeight="1">
      <c r="A12" s="53" t="s">
        <v>124</v>
      </c>
      <c r="B12" s="102">
        <v>3</v>
      </c>
      <c r="C12" s="102">
        <v>9</v>
      </c>
      <c r="D12" s="103">
        <f>COUNTIF('Monthly Checklist'!E88:E96,"Complete")</f>
        <v>0</v>
      </c>
      <c r="E12" s="104">
        <f>9-D12</f>
        <v>9</v>
      </c>
      <c r="F12" s="105">
        <f t="shared" si="0"/>
        <v>0</v>
      </c>
      <c r="G12" s="103">
        <f>COUNTIF('Monthly Checklist'!I88:I96,"Complete")</f>
        <v>0</v>
      </c>
      <c r="H12" s="104">
        <f>9-G12</f>
        <v>9</v>
      </c>
      <c r="I12" s="77">
        <f t="shared" si="1"/>
        <v>0</v>
      </c>
    </row>
    <row r="13" spans="1:9" ht="21.95" customHeight="1">
      <c r="A13" s="60" t="s">
        <v>138</v>
      </c>
      <c r="B13" s="106">
        <v>3</v>
      </c>
      <c r="C13" s="106">
        <v>7</v>
      </c>
      <c r="D13" s="107">
        <f>COUNTIF('Monthly Checklist'!E98:E104,"Complete")</f>
        <v>0</v>
      </c>
      <c r="E13" s="108">
        <f>7-D13</f>
        <v>7</v>
      </c>
      <c r="F13" s="109">
        <f t="shared" si="0"/>
        <v>0</v>
      </c>
      <c r="G13" s="107">
        <f>COUNTIF('Monthly Checklist'!I98:I104,"Complete")</f>
        <v>0</v>
      </c>
      <c r="H13" s="108">
        <f>7-G13</f>
        <v>7</v>
      </c>
      <c r="I13" s="77">
        <f t="shared" si="1"/>
        <v>0</v>
      </c>
    </row>
    <row r="14" spans="1:9" ht="21.95" customHeight="1">
      <c r="A14" s="67" t="s">
        <v>150</v>
      </c>
      <c r="B14" s="110">
        <v>2</v>
      </c>
      <c r="C14" s="110">
        <v>5</v>
      </c>
      <c r="D14" s="111">
        <f>COUNTIF('Monthly Checklist'!E106:E110,"Complete")</f>
        <v>0</v>
      </c>
      <c r="E14" s="112">
        <f>5-D14</f>
        <v>5</v>
      </c>
      <c r="F14" s="113">
        <f t="shared" si="0"/>
        <v>0</v>
      </c>
      <c r="G14" s="111">
        <f>COUNTIF('Monthly Checklist'!I106:I110,"Complete")</f>
        <v>0</v>
      </c>
      <c r="H14" s="112">
        <f>5-G14</f>
        <v>5</v>
      </c>
      <c r="I14" s="77">
        <f t="shared" si="1"/>
        <v>0</v>
      </c>
    </row>
    <row r="15" spans="1:9" ht="21.95" customHeight="1">
      <c r="A15" s="39" t="s">
        <v>159</v>
      </c>
      <c r="B15" s="94">
        <v>2</v>
      </c>
      <c r="C15" s="94">
        <v>6</v>
      </c>
      <c r="D15" s="95">
        <f>COUNTIF('Monthly Checklist'!E112:E117,"Complete")</f>
        <v>0</v>
      </c>
      <c r="E15" s="96">
        <f>6-D15</f>
        <v>6</v>
      </c>
      <c r="F15" s="97">
        <f t="shared" si="0"/>
        <v>0</v>
      </c>
      <c r="G15" s="95">
        <f>COUNTIF('Monthly Checklist'!I112:I117,"Complete")</f>
        <v>0</v>
      </c>
      <c r="H15" s="96">
        <f>6-G15</f>
        <v>6</v>
      </c>
      <c r="I15" s="77">
        <f t="shared" si="1"/>
        <v>0</v>
      </c>
    </row>
    <row r="16" spans="1:9" ht="21.95" customHeight="1">
      <c r="A16" s="2" t="s">
        <v>176</v>
      </c>
      <c r="B16" s="1">
        <v>35</v>
      </c>
      <c r="C16" s="1">
        <v>102</v>
      </c>
      <c r="D16" s="1">
        <f>SUM(D5:D15)</f>
        <v>0</v>
      </c>
      <c r="E16" s="1">
        <f>SUM(E5:E15)</f>
        <v>102</v>
      </c>
      <c r="F16" s="114">
        <f t="shared" si="0"/>
        <v>0</v>
      </c>
      <c r="G16" s="1">
        <f>SUM(G5:G15)</f>
        <v>0</v>
      </c>
      <c r="H16" s="1">
        <f>SUM(H5:H15)</f>
        <v>102</v>
      </c>
      <c r="I16" s="114">
        <f>IFERROR(G16/C16,0)</f>
        <v>0</v>
      </c>
    </row>
  </sheetData>
  <mergeCells count="2">
    <mergeCell ref="A1:F1"/>
    <mergeCell ref="G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Diane Meria</cp:lastModifiedBy>
  <cp:revision/>
  <dcterms:created xsi:type="dcterms:W3CDTF">2026-04-30T15:09:48Z</dcterms:created>
  <dcterms:modified xsi:type="dcterms:W3CDTF">2026-06-05T11:27:07Z</dcterms:modified>
  <cp:category/>
  <cp:contentStatus/>
</cp:coreProperties>
</file>